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18726\Desktop\table\原始数据集\"/>
    </mc:Choice>
  </mc:AlternateContent>
  <xr:revisionPtr revIDLastSave="0" documentId="13_ncr:1_{7BE6A0CF-7BBF-43F1-8EA4-57965942F07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线" sheetId="91" r:id="rId1"/>
    <sheet name="Sheet3" sheetId="152" r:id="rId2"/>
  </sheets>
  <definedNames>
    <definedName name="_xlnm.Print_Area" localSheetId="0">A线!$A$1:$AI$84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97" i="91" l="1"/>
  <c r="AI97" i="91"/>
  <c r="AH97" i="91"/>
  <c r="AG97" i="91"/>
  <c r="AF97" i="91"/>
  <c r="AE97" i="91"/>
  <c r="AD97" i="91"/>
  <c r="AC97" i="91"/>
  <c r="AB97" i="91"/>
  <c r="AA97" i="91"/>
  <c r="Z97" i="91"/>
  <c r="Y97" i="91"/>
  <c r="X97" i="91"/>
  <c r="W97" i="91"/>
  <c r="V97" i="91"/>
  <c r="U97" i="91"/>
  <c r="T97" i="91"/>
  <c r="S97" i="91"/>
  <c r="R97" i="91"/>
  <c r="Q97" i="91"/>
  <c r="P97" i="91"/>
  <c r="O97" i="91"/>
  <c r="N97" i="91"/>
  <c r="M97" i="91"/>
  <c r="L97" i="91"/>
  <c r="K97" i="91"/>
  <c r="J97" i="91"/>
  <c r="I97" i="91"/>
  <c r="H97" i="91"/>
  <c r="G97" i="91"/>
  <c r="F97" i="91"/>
  <c r="E97" i="91"/>
  <c r="D97" i="91"/>
  <c r="C97" i="91"/>
  <c r="AJ96" i="91"/>
  <c r="AI96" i="91"/>
  <c r="AI95" i="91"/>
  <c r="AJ94" i="91"/>
  <c r="AI94" i="91"/>
  <c r="AI93" i="91"/>
  <c r="AJ92" i="91"/>
  <c r="AI92" i="91"/>
  <c r="AJ91" i="91"/>
  <c r="AI91" i="91"/>
  <c r="AJ90" i="91"/>
  <c r="AI90" i="91"/>
  <c r="AI89" i="91"/>
  <c r="AJ88" i="91"/>
  <c r="AI88" i="91"/>
  <c r="AI87" i="91"/>
  <c r="AJ86" i="91"/>
  <c r="AI86" i="91"/>
  <c r="AJ85" i="91"/>
  <c r="AI85" i="91"/>
  <c r="AJ84" i="91"/>
  <c r="AI84" i="91"/>
  <c r="AH84" i="91"/>
  <c r="AG84" i="91"/>
  <c r="AF84" i="91"/>
  <c r="AE84" i="91"/>
  <c r="AD84" i="91"/>
  <c r="AC84" i="91"/>
  <c r="AB84" i="91"/>
  <c r="AA84" i="91"/>
  <c r="Z84" i="91"/>
  <c r="Y84" i="91"/>
  <c r="X84" i="91"/>
  <c r="W84" i="91"/>
  <c r="V84" i="91"/>
  <c r="U84" i="91"/>
  <c r="T84" i="91"/>
  <c r="S84" i="91"/>
  <c r="R84" i="91"/>
  <c r="Q84" i="91"/>
  <c r="P84" i="91"/>
  <c r="O84" i="91"/>
  <c r="N84" i="91"/>
  <c r="M84" i="91"/>
  <c r="L84" i="91"/>
  <c r="K84" i="91"/>
  <c r="J84" i="91"/>
  <c r="I84" i="91"/>
  <c r="H84" i="91"/>
  <c r="G84" i="91"/>
  <c r="F84" i="91"/>
  <c r="E84" i="91"/>
  <c r="D84" i="91"/>
  <c r="C84" i="91"/>
  <c r="AJ83" i="91"/>
  <c r="AI83" i="91"/>
  <c r="AJ82" i="91"/>
  <c r="AI82" i="91"/>
  <c r="AI81" i="91"/>
  <c r="AI80" i="91"/>
  <c r="AI79" i="91"/>
  <c r="AI78" i="91"/>
  <c r="AI77" i="91"/>
  <c r="AI76" i="91"/>
  <c r="AI75" i="91"/>
  <c r="AI74" i="91"/>
  <c r="AI73" i="91"/>
  <c r="AI72" i="91"/>
  <c r="AI71" i="91"/>
  <c r="AI70" i="91"/>
  <c r="AG70" i="91"/>
  <c r="AF70" i="91"/>
  <c r="AE70" i="91"/>
  <c r="AD70" i="91"/>
  <c r="AC70" i="91"/>
  <c r="AB70" i="91"/>
  <c r="AA70" i="91"/>
  <c r="Z70" i="91"/>
  <c r="Y70" i="91"/>
  <c r="X70" i="91"/>
  <c r="W70" i="91"/>
  <c r="V70" i="91"/>
  <c r="U70" i="91"/>
  <c r="T70" i="91"/>
  <c r="S70" i="91"/>
  <c r="R70" i="91"/>
  <c r="Q70" i="91"/>
  <c r="P70" i="91"/>
  <c r="O70" i="91"/>
  <c r="N70" i="91"/>
  <c r="M70" i="91"/>
  <c r="L70" i="91"/>
  <c r="K70" i="91"/>
  <c r="J70" i="91"/>
  <c r="I70" i="91"/>
  <c r="H70" i="91"/>
  <c r="G70" i="91"/>
  <c r="F70" i="91"/>
  <c r="E70" i="91"/>
  <c r="D70" i="91"/>
  <c r="C70" i="91"/>
  <c r="AI69" i="91"/>
  <c r="AI68" i="91"/>
  <c r="AJ67" i="91"/>
  <c r="AI67" i="91"/>
  <c r="AJ66" i="91"/>
  <c r="AI66" i="91"/>
  <c r="AJ65" i="91"/>
  <c r="AI65" i="91"/>
  <c r="AJ64" i="91"/>
  <c r="AI64" i="91"/>
  <c r="AJ63" i="91"/>
  <c r="AI63" i="91"/>
  <c r="AJ62" i="91"/>
  <c r="AI62" i="91"/>
  <c r="AJ61" i="91"/>
  <c r="AI61" i="91"/>
  <c r="AJ60" i="91"/>
  <c r="AI60" i="91"/>
  <c r="AJ59" i="91"/>
  <c r="AI59" i="91"/>
  <c r="AG59" i="91"/>
  <c r="AF59" i="91"/>
  <c r="AE59" i="91"/>
  <c r="AD59" i="91"/>
  <c r="AC59" i="91"/>
  <c r="AB59" i="91"/>
  <c r="AA59" i="91"/>
  <c r="Z59" i="91"/>
  <c r="Y59" i="91"/>
  <c r="X59" i="91"/>
  <c r="W59" i="91"/>
  <c r="V59" i="91"/>
  <c r="U59" i="91"/>
  <c r="T59" i="91"/>
  <c r="S59" i="91"/>
  <c r="R59" i="91"/>
  <c r="Q59" i="91"/>
  <c r="P59" i="91"/>
  <c r="O59" i="91"/>
  <c r="N59" i="91"/>
  <c r="M59" i="91"/>
  <c r="L59" i="91"/>
  <c r="K59" i="91"/>
  <c r="J59" i="91"/>
  <c r="I59" i="91"/>
  <c r="H59" i="91"/>
  <c r="G59" i="91"/>
  <c r="F59" i="91"/>
  <c r="E59" i="91"/>
  <c r="D59" i="91"/>
  <c r="C59" i="91"/>
  <c r="AJ58" i="91"/>
  <c r="AI58" i="91"/>
  <c r="AI57" i="91"/>
  <c r="AI56" i="91"/>
  <c r="AI55" i="91"/>
  <c r="AI54" i="91"/>
  <c r="AI53" i="91"/>
  <c r="AJ52" i="91"/>
  <c r="AI52" i="91"/>
  <c r="AJ51" i="91"/>
  <c r="AI51" i="91"/>
  <c r="AJ50" i="91"/>
  <c r="AI50" i="91"/>
  <c r="AI49" i="91"/>
  <c r="AG49" i="91"/>
  <c r="AF49" i="91"/>
  <c r="AE49" i="91"/>
  <c r="AD49" i="91"/>
  <c r="AC49" i="91"/>
  <c r="AB49" i="91"/>
  <c r="AA49" i="91"/>
  <c r="Z49" i="91"/>
  <c r="Y49" i="91"/>
  <c r="X49" i="91"/>
  <c r="W49" i="91"/>
  <c r="V49" i="91"/>
  <c r="U49" i="91"/>
  <c r="T49" i="91"/>
  <c r="S49" i="91"/>
  <c r="R49" i="91"/>
  <c r="Q49" i="91"/>
  <c r="P49" i="91"/>
  <c r="O49" i="91"/>
  <c r="N49" i="91"/>
  <c r="M49" i="91"/>
  <c r="L49" i="91"/>
  <c r="K49" i="91"/>
  <c r="J49" i="91"/>
  <c r="I49" i="91"/>
  <c r="H49" i="91"/>
  <c r="G49" i="91"/>
  <c r="F49" i="91"/>
  <c r="E49" i="91"/>
  <c r="D49" i="91"/>
  <c r="C49" i="91"/>
  <c r="AI48" i="91"/>
  <c r="AJ47" i="91"/>
  <c r="AI47" i="91"/>
  <c r="AJ46" i="91"/>
  <c r="AI46" i="91"/>
  <c r="AJ45" i="91"/>
  <c r="AI45" i="91"/>
  <c r="AJ44" i="91"/>
  <c r="AI44" i="91"/>
  <c r="AJ43" i="91"/>
  <c r="AI43" i="91"/>
  <c r="AJ42" i="91"/>
  <c r="AI42" i="91"/>
  <c r="AJ41" i="91"/>
  <c r="AI41" i="91"/>
  <c r="AJ40" i="91"/>
  <c r="AI40" i="91"/>
  <c r="AI39" i="91"/>
  <c r="AH39" i="91"/>
  <c r="AG39" i="91"/>
  <c r="AF39" i="91"/>
  <c r="AE39" i="91"/>
  <c r="AD39" i="91"/>
  <c r="AC39" i="91"/>
  <c r="AB39" i="91"/>
  <c r="AA39" i="91"/>
  <c r="Z39" i="91"/>
  <c r="Y39" i="91"/>
  <c r="X39" i="91"/>
  <c r="W39" i="91"/>
  <c r="V39" i="91"/>
  <c r="U39" i="91"/>
  <c r="T39" i="91"/>
  <c r="S39" i="91"/>
  <c r="R39" i="91"/>
  <c r="Q39" i="91"/>
  <c r="P39" i="91"/>
  <c r="O39" i="91"/>
  <c r="N39" i="91"/>
  <c r="M39" i="91"/>
  <c r="L39" i="91"/>
  <c r="K39" i="91"/>
  <c r="J39" i="91"/>
  <c r="I39" i="91"/>
  <c r="H39" i="91"/>
  <c r="G39" i="91"/>
  <c r="F39" i="91"/>
  <c r="E39" i="91"/>
  <c r="D39" i="91"/>
  <c r="C39" i="91"/>
  <c r="AI38" i="91"/>
  <c r="AH38" i="91"/>
  <c r="AG38" i="91"/>
  <c r="AF38" i="91"/>
  <c r="AE38" i="91"/>
  <c r="AD38" i="91"/>
  <c r="AC38" i="91"/>
  <c r="AB38" i="91"/>
  <c r="AA38" i="91"/>
  <c r="Z38" i="91"/>
  <c r="Y38" i="91"/>
  <c r="X38" i="91"/>
  <c r="W38" i="91"/>
  <c r="V38" i="91"/>
  <c r="U38" i="91"/>
  <c r="T38" i="91"/>
  <c r="S38" i="91"/>
  <c r="R38" i="91"/>
  <c r="Q38" i="91"/>
  <c r="P38" i="91"/>
  <c r="O38" i="91"/>
  <c r="N38" i="91"/>
  <c r="M38" i="91"/>
  <c r="L38" i="91"/>
  <c r="K38" i="91"/>
  <c r="J38" i="91"/>
  <c r="I38" i="91"/>
  <c r="H38" i="91"/>
  <c r="G38" i="91"/>
  <c r="F38" i="91"/>
  <c r="E38" i="91"/>
  <c r="D38" i="91"/>
  <c r="C38" i="91"/>
  <c r="AI37" i="91"/>
  <c r="AH37" i="91"/>
  <c r="AG37" i="91"/>
  <c r="AF37" i="91"/>
  <c r="AE37" i="91"/>
  <c r="AD37" i="91"/>
  <c r="AC37" i="91"/>
  <c r="AB37" i="91"/>
  <c r="AA37" i="91"/>
  <c r="Z37" i="91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G37" i="91"/>
  <c r="F37" i="91"/>
  <c r="E37" i="91"/>
  <c r="D37" i="91"/>
  <c r="C37" i="91"/>
  <c r="AI36" i="91"/>
  <c r="AG36" i="91"/>
  <c r="AF36" i="91"/>
  <c r="AE36" i="91"/>
  <c r="AD36" i="91"/>
  <c r="AC36" i="91"/>
  <c r="AB36" i="91"/>
  <c r="AA36" i="91"/>
  <c r="Z36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G36" i="91"/>
  <c r="F36" i="91"/>
  <c r="E36" i="91"/>
  <c r="D36" i="91"/>
  <c r="C36" i="91"/>
  <c r="AI35" i="91"/>
  <c r="AG35" i="91"/>
  <c r="AF35" i="91"/>
  <c r="AE35" i="91"/>
  <c r="AD35" i="91"/>
  <c r="AC35" i="91"/>
  <c r="AB35" i="91"/>
  <c r="AA35" i="91"/>
  <c r="Z35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H35" i="91"/>
  <c r="G35" i="91"/>
  <c r="F35" i="91"/>
  <c r="E35" i="91"/>
  <c r="D35" i="91"/>
  <c r="C35" i="91"/>
  <c r="AI34" i="91"/>
  <c r="AH34" i="91"/>
  <c r="AG34" i="91"/>
  <c r="AF34" i="91"/>
  <c r="AE34" i="91"/>
  <c r="AD34" i="91"/>
  <c r="AC34" i="91"/>
  <c r="AB34" i="91"/>
  <c r="AA34" i="91"/>
  <c r="Z34" i="9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H34" i="91"/>
  <c r="G34" i="91"/>
  <c r="F34" i="91"/>
  <c r="E34" i="91"/>
  <c r="D34" i="91"/>
  <c r="C34" i="91"/>
  <c r="AI33" i="91"/>
  <c r="AH33" i="91"/>
  <c r="AG33" i="91"/>
  <c r="AF33" i="91"/>
  <c r="AE33" i="91"/>
  <c r="AD33" i="91"/>
  <c r="AC33" i="91"/>
  <c r="AB33" i="91"/>
  <c r="AA33" i="91"/>
  <c r="Z33" i="9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H33" i="91"/>
  <c r="G33" i="91"/>
  <c r="F33" i="91"/>
  <c r="E33" i="91"/>
  <c r="D33" i="91"/>
  <c r="C33" i="91"/>
  <c r="AI32" i="91"/>
  <c r="AH32" i="91"/>
  <c r="AG32" i="91"/>
  <c r="AF32" i="91"/>
  <c r="AE32" i="91"/>
  <c r="AD32" i="91"/>
  <c r="AC32" i="91"/>
  <c r="AB32" i="91"/>
  <c r="AA32" i="91"/>
  <c r="Z32" i="9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H32" i="91"/>
  <c r="G32" i="91"/>
  <c r="F32" i="91"/>
  <c r="E32" i="91"/>
  <c r="D32" i="91"/>
  <c r="C32" i="91"/>
  <c r="AI31" i="91"/>
  <c r="AH31" i="91"/>
  <c r="AG31" i="91"/>
  <c r="AF31" i="91"/>
  <c r="AE31" i="91"/>
  <c r="AD31" i="91"/>
  <c r="AC31" i="91"/>
  <c r="AB31" i="91"/>
  <c r="AA31" i="91"/>
  <c r="Z31" i="91"/>
  <c r="Y31" i="91"/>
  <c r="X31" i="91"/>
  <c r="W31" i="91"/>
  <c r="V31" i="91"/>
  <c r="U31" i="91"/>
  <c r="T31" i="91"/>
  <c r="S31" i="91"/>
  <c r="R31" i="91"/>
  <c r="Q31" i="91"/>
  <c r="P31" i="91"/>
  <c r="O31" i="91"/>
  <c r="N31" i="91"/>
  <c r="M31" i="91"/>
  <c r="L31" i="91"/>
  <c r="K31" i="91"/>
  <c r="J31" i="91"/>
  <c r="I31" i="91"/>
  <c r="H31" i="91"/>
  <c r="G31" i="91"/>
  <c r="F31" i="91"/>
  <c r="E31" i="91"/>
  <c r="D31" i="91"/>
  <c r="C31" i="91"/>
  <c r="AI30" i="91"/>
  <c r="AH30" i="91"/>
  <c r="AG30" i="91"/>
  <c r="AF30" i="91"/>
  <c r="AE30" i="91"/>
  <c r="AD30" i="91"/>
  <c r="AC30" i="91"/>
  <c r="AB30" i="91"/>
  <c r="AA30" i="91"/>
  <c r="Z30" i="91"/>
  <c r="Y30" i="91"/>
  <c r="X30" i="91"/>
  <c r="W30" i="91"/>
  <c r="V30" i="91"/>
  <c r="U30" i="91"/>
  <c r="T30" i="91"/>
  <c r="S30" i="91"/>
  <c r="R30" i="91"/>
  <c r="Q30" i="91"/>
  <c r="P30" i="91"/>
  <c r="O30" i="91"/>
  <c r="N30" i="91"/>
  <c r="M30" i="91"/>
  <c r="L30" i="91"/>
  <c r="K30" i="91"/>
  <c r="J30" i="91"/>
  <c r="I30" i="91"/>
  <c r="H30" i="91"/>
  <c r="G30" i="91"/>
  <c r="F30" i="91"/>
  <c r="E30" i="91"/>
  <c r="D30" i="91"/>
  <c r="C30" i="91"/>
  <c r="AI29" i="91"/>
  <c r="AI28" i="91"/>
  <c r="AI27" i="91"/>
  <c r="AI26" i="9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U48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生锈</t>
        </r>
      </text>
    </comment>
    <comment ref="R58" authorId="0" shapeId="0" xr:uid="{00000000-0006-0000-0000-00000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平面料废</t>
        </r>
      </text>
    </comment>
    <comment ref="L83" authorId="0" shapeId="0" xr:uid="{00000000-0006-0000-00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球环生锈</t>
        </r>
      </text>
    </comment>
    <comment ref="E100" authorId="0" shapeId="0" xr:uid="{00000000-0006-0000-0000-00000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J25E25A250702
</t>
        </r>
      </text>
    </comment>
    <comment ref="G100" authorId="0" shapeId="0" xr:uid="{00000000-0006-0000-0000-00000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J25E25A250704
</t>
        </r>
      </text>
    </comment>
    <comment ref="I100" authorId="0" shapeId="0" xr:uid="{00000000-0006-0000-0000-00000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J25E25A250705-1
</t>
        </r>
      </text>
    </comment>
    <comment ref="J100" authorId="0" shapeId="0" xr:uid="{00000000-0006-0000-0000-00000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J25E23B250707-1
</t>
        </r>
      </text>
    </comment>
    <comment ref="K100" authorId="0" shapeId="0" xr:uid="{00000000-0006-0000-0000-00000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J25E23B250707-1
</t>
        </r>
      </text>
    </comment>
    <comment ref="N100" authorId="0" shapeId="0" xr:uid="{00000000-0006-0000-0000-00000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J25G1A250711-1
</t>
        </r>
      </text>
    </comment>
    <comment ref="R100" authorId="0" shapeId="0" xr:uid="{00000000-0006-0000-0000-00000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J25G5A250713-9
</t>
        </r>
      </text>
    </comment>
    <comment ref="S100" authorId="0" shapeId="0" xr:uid="{00000000-0006-0000-0000-00000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J25E25A250714-2
</t>
        </r>
      </text>
    </comment>
    <comment ref="T100" authorId="0" shapeId="0" xr:uid="{00000000-0006-0000-0000-00000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J25G7B250718
</t>
        </r>
      </text>
    </comment>
    <comment ref="U100" authorId="0" shapeId="0" xr:uid="{00000000-0006-0000-0000-00000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J25G7C250718-1
</t>
        </r>
      </text>
    </comment>
    <comment ref="W100" authorId="0" shapeId="0" xr:uid="{00000000-0006-0000-0000-00000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J25G5A250720-2
</t>
        </r>
      </text>
    </comment>
    <comment ref="Z100" authorId="0" shapeId="0" xr:uid="{00000000-0006-0000-0000-00000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J25F4D250723-2
</t>
        </r>
      </text>
    </comment>
    <comment ref="AA100" authorId="0" shapeId="0" xr:uid="{00000000-0006-0000-0000-00001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J25G17A280723-1
</t>
        </r>
      </text>
    </comment>
    <comment ref="AE100" authorId="0" shapeId="0" xr:uid="{00000000-0006-0000-0000-00001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J25G7B250727-2
</t>
        </r>
      </text>
    </comment>
    <comment ref="E101" authorId="0" shapeId="0" xr:uid="{00000000-0006-0000-0000-00001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J25E28A250702
</t>
        </r>
      </text>
    </comment>
    <comment ref="L101" authorId="0" shapeId="0" xr:uid="{00000000-0006-0000-0000-00001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J25F20A250706-2
</t>
        </r>
      </text>
    </comment>
    <comment ref="N101" authorId="0" shapeId="0" xr:uid="{00000000-0006-0000-0000-00001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J25F30A250711-1
</t>
        </r>
      </text>
    </comment>
    <comment ref="P101" authorId="0" shapeId="0" xr:uid="{00000000-0006-0000-0000-00001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J25F24B250711-3
</t>
        </r>
      </text>
    </comment>
    <comment ref="R101" authorId="0" shapeId="0" xr:uid="{00000000-0006-0000-0000-00001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J25F24B250714-1
</t>
        </r>
      </text>
    </comment>
    <comment ref="S101" authorId="0" shapeId="0" xr:uid="{00000000-0006-0000-0000-00001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J25F30A250711-4
</t>
        </r>
      </text>
    </comment>
    <comment ref="X101" authorId="0" shapeId="0" xr:uid="{00000000-0006-0000-0000-00001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J25G5A250719-1
</t>
        </r>
      </text>
    </comment>
    <comment ref="Y101" authorId="0" shapeId="0" xr:uid="{00000000-0006-0000-0000-00001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J25G5C250721-1
</t>
        </r>
      </text>
    </comment>
    <comment ref="Z101" authorId="0" shapeId="0" xr:uid="{00000000-0006-0000-0000-00001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J25G12D250723-1
</t>
        </r>
      </text>
    </comment>
    <comment ref="AA101" authorId="0" shapeId="0" xr:uid="{00000000-0006-0000-0000-00001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J25G5B250723-1
</t>
        </r>
      </text>
    </comment>
    <comment ref="AE101" authorId="0" shapeId="0" xr:uid="{00000000-0006-0000-0000-00001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J25G12A250727-3
</t>
        </r>
      </text>
    </comment>
    <comment ref="C102" authorId="0" shapeId="0" xr:uid="{00000000-0006-0000-0000-00001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J25F20B250628-2
</t>
        </r>
      </text>
    </comment>
    <comment ref="E102" authorId="0" shapeId="0" xr:uid="{00000000-0006-0000-0000-00001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J25F21A250702
J25E28A250702
J25E25A250702
</t>
        </r>
      </text>
    </comment>
    <comment ref="F102" authorId="0" shapeId="0" xr:uid="{00000000-0006-0000-0000-00001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J25F21A250702-2
</t>
        </r>
      </text>
    </comment>
    <comment ref="G102" authorId="0" shapeId="0" xr:uid="{00000000-0006-0000-0000-00002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J25E28A250702-1
J25E25A250704
</t>
        </r>
      </text>
    </comment>
    <comment ref="I102" authorId="0" shapeId="0" xr:uid="{00000000-0006-0000-0000-00002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J25F28A250702-3
J25E25A250705-1
</t>
        </r>
      </text>
    </comment>
    <comment ref="J102" authorId="0" shapeId="0" xr:uid="{00000000-0006-0000-0000-00002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J25F20B250704-1
J25E23B250707-1
</t>
        </r>
      </text>
    </comment>
    <comment ref="K102" authorId="0" shapeId="0" xr:uid="{00000000-0006-0000-0000-00002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J25E28A250705-1
J25E23B250707-1
</t>
        </r>
      </text>
    </comment>
    <comment ref="L102" authorId="0" shapeId="0" xr:uid="{00000000-0006-0000-0000-00002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J25F20B250706
J25F20A250706-2
</t>
        </r>
      </text>
    </comment>
    <comment ref="M102" authorId="0" shapeId="0" xr:uid="{00000000-0006-0000-0000-00002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J25G11A250711
</t>
        </r>
      </text>
    </comment>
    <comment ref="N102" authorId="0" shapeId="0" xr:uid="{00000000-0006-0000-0000-00002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J2G11B250711-1
J25F30A250711-1
J25G1A250711-1
</t>
        </r>
      </text>
    </comment>
    <comment ref="P102" authorId="0" shapeId="0" xr:uid="{00000000-0006-0000-0000-00002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J25G1A250711-5
J25F24B250711-3
</t>
        </r>
      </text>
    </comment>
    <comment ref="Q102" authorId="0" shapeId="0" xr:uid="{00000000-0006-0000-0000-00002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J25E25A250711-1
</t>
        </r>
      </text>
    </comment>
    <comment ref="R102" authorId="0" shapeId="0" xr:uid="{00000000-0006-0000-0000-00002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J25E25A250711-1
J25F24B250714-1
J25G5A250713-9
</t>
        </r>
      </text>
    </comment>
    <comment ref="S102" authorId="0" shapeId="0" xr:uid="{00000000-0006-0000-0000-00002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J25E25A250714
J25F30A250711-4
J25E25A250714-2
</t>
        </r>
      </text>
    </comment>
    <comment ref="T102" authorId="0" shapeId="0" xr:uid="{00000000-0006-0000-0000-00002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J25F30A250711-4
J25G7B250718
</t>
        </r>
      </text>
    </comment>
    <comment ref="U102" authorId="0" shapeId="0" xr:uid="{00000000-0006-0000-0000-00002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J25F30A250711-4
J25G7C250718-1
</t>
        </r>
      </text>
    </comment>
    <comment ref="W102" authorId="0" shapeId="0" xr:uid="{00000000-0006-0000-0000-00002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J25E28A250719-1
J25G5A250720-2
</t>
        </r>
      </text>
    </comment>
    <comment ref="X102" authorId="0" shapeId="0" xr:uid="{00000000-0006-0000-0000-00002E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J25G5A250720-10
J25G5A250719-1
</t>
        </r>
      </text>
    </comment>
    <comment ref="Y102" authorId="0" shapeId="0" xr:uid="{00000000-0006-0000-0000-00002F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J25G7A250720-3
J25G5C250721-1
</t>
        </r>
      </text>
    </comment>
    <comment ref="Z102" authorId="0" shapeId="0" xr:uid="{00000000-0006-0000-0000-000030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J25G12B250723-1
J25G12D250723-1
J25F4D250723-2
</t>
        </r>
      </text>
    </comment>
    <comment ref="AA102" authorId="0" shapeId="0" xr:uid="{00000000-0006-0000-0000-00003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J25G12B250723-2
J25G5B250723-1
J25G17A280723-1
</t>
        </r>
      </text>
    </comment>
    <comment ref="AB102" authorId="0" shapeId="0" xr:uid="{00000000-0006-0000-0000-000032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J25G7D250720-2
</t>
        </r>
      </text>
    </comment>
    <comment ref="AD102" authorId="0" shapeId="0" xr:uid="{00000000-0006-0000-0000-00003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J25G5A250723-3
</t>
        </r>
      </text>
    </comment>
    <comment ref="AE102" authorId="0" shapeId="0" xr:uid="{00000000-0006-0000-0000-000034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J25G17A250723-6
J25G12A250727-3
J25G7B250727-2
</t>
        </r>
      </text>
    </comment>
    <comment ref="AF102" authorId="0" shapeId="0" xr:uid="{00000000-0006-0000-0000-000035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J25G7B250729-1
</t>
        </r>
      </text>
    </comment>
    <comment ref="L103" authorId="0" shapeId="0" xr:uid="{00000000-0006-0000-0000-000036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A250711
</t>
        </r>
      </text>
    </comment>
    <comment ref="M103" authorId="0" shapeId="0" xr:uid="{00000000-0006-0000-0000-000037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A250712
</t>
        </r>
      </text>
    </comment>
    <comment ref="U103" authorId="0" shapeId="0" xr:uid="{00000000-0006-0000-0000-000038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A250719
</t>
        </r>
      </text>
    </comment>
    <comment ref="W103" authorId="0" shapeId="0" xr:uid="{00000000-0006-0000-0000-000039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A250721
</t>
        </r>
      </text>
    </comment>
    <comment ref="Z103" authorId="0" shapeId="0" xr:uid="{00000000-0006-0000-0000-00003A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A250725
</t>
        </r>
      </text>
    </comment>
    <comment ref="AA103" authorId="0" shapeId="0" xr:uid="{00000000-0006-0000-0000-00003B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A250726
</t>
        </r>
      </text>
    </comment>
    <comment ref="AD103" authorId="0" shapeId="0" xr:uid="{00000000-0006-0000-0000-00003C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A250729
</t>
        </r>
      </text>
    </comment>
    <comment ref="AE103" authorId="0" shapeId="0" xr:uid="{00000000-0006-0000-0000-00003D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A250730
</t>
        </r>
      </text>
    </comment>
  </commentList>
</comments>
</file>

<file path=xl/sharedStrings.xml><?xml version="1.0" encoding="utf-8"?>
<sst xmlns="http://schemas.openxmlformats.org/spreadsheetml/2006/main" count="231" uniqueCount="165">
  <si>
    <t>生产线人数--  名</t>
  </si>
  <si>
    <t>CT=</t>
  </si>
  <si>
    <t xml:space="preserve">  </t>
  </si>
  <si>
    <t>白班生产时间</t>
  </si>
  <si>
    <t>白班生产合格数</t>
  </si>
  <si>
    <t>夜班生产时间</t>
  </si>
  <si>
    <t>夜班生产合格数</t>
  </si>
  <si>
    <t>总生产时间(H)</t>
  </si>
  <si>
    <t>总生产数</t>
  </si>
  <si>
    <t>总合格数</t>
  </si>
  <si>
    <t>总不良数</t>
  </si>
  <si>
    <t>总不良率</t>
  </si>
  <si>
    <t>外圈不良率</t>
  </si>
  <si>
    <t>球环不良率</t>
  </si>
  <si>
    <t>装配不良率</t>
  </si>
  <si>
    <t>全检不良率</t>
  </si>
  <si>
    <t>可动率</t>
  </si>
  <si>
    <t>外圈</t>
  </si>
  <si>
    <t xml:space="preserve">
外径
报废</t>
  </si>
  <si>
    <t xml:space="preserve">
内径
报废</t>
  </si>
  <si>
    <t>外观报废</t>
  </si>
  <si>
    <t xml:space="preserve">
高度
料废</t>
  </si>
  <si>
    <t xml:space="preserve">
外径
料废</t>
  </si>
  <si>
    <t xml:space="preserve">
内径
料废</t>
  </si>
  <si>
    <t>返工数量</t>
  </si>
  <si>
    <t>酸洗</t>
  </si>
  <si>
    <t>其他</t>
  </si>
  <si>
    <t>外圈不良合计</t>
  </si>
  <si>
    <t>球环</t>
  </si>
  <si>
    <t>内径
报废</t>
  </si>
  <si>
    <t>外径报废</t>
  </si>
  <si>
    <t>高度
料废</t>
  </si>
  <si>
    <t>外径
料废</t>
  </si>
  <si>
    <t>内径
料废</t>
  </si>
  <si>
    <t>返工</t>
  </si>
  <si>
    <t>球环不良合计</t>
  </si>
  <si>
    <t>装配不良</t>
  </si>
  <si>
    <t>高度报废02</t>
  </si>
  <si>
    <t>高度返工02</t>
  </si>
  <si>
    <t>外径
报废02</t>
  </si>
  <si>
    <t>外径返工02</t>
  </si>
  <si>
    <t>内径
报废02</t>
  </si>
  <si>
    <t>高度
料废
02</t>
  </si>
  <si>
    <t>高度报废01</t>
  </si>
  <si>
    <t>高度
料废
01</t>
  </si>
  <si>
    <t>挡圈槽
料废</t>
  </si>
  <si>
    <t>装配不良合计</t>
  </si>
  <si>
    <t>全检不良</t>
  </si>
  <si>
    <t>球环内径
报废</t>
  </si>
  <si>
    <t>球环倒角不良</t>
  </si>
  <si>
    <t>球环外观不良</t>
  </si>
  <si>
    <t>外圈外观不良</t>
  </si>
  <si>
    <t>外圈倒角不良</t>
  </si>
  <si>
    <t>外圈支撑印划伤</t>
  </si>
  <si>
    <t>装配子不清</t>
  </si>
  <si>
    <t>生锈</t>
  </si>
  <si>
    <t>灵活性</t>
  </si>
  <si>
    <t>外圈
外径
报废</t>
  </si>
  <si>
    <t>轴向
不好</t>
  </si>
  <si>
    <t>挡圈没压到位</t>
  </si>
  <si>
    <t>全检不良合计</t>
  </si>
  <si>
    <t>不动时间</t>
  </si>
  <si>
    <t>员工请假</t>
  </si>
  <si>
    <t>设备故障</t>
  </si>
  <si>
    <t>品质异常</t>
  </si>
  <si>
    <t>换型</t>
  </si>
  <si>
    <t>下午#2换#-4</t>
  </si>
  <si>
    <t>#-4换#2</t>
  </si>
  <si>
    <t>缺料</t>
  </si>
  <si>
    <t>#4</t>
  </si>
  <si>
    <t>#4换#2</t>
  </si>
  <si>
    <t>其它</t>
  </si>
  <si>
    <t>不动时间合计</t>
  </si>
  <si>
    <t>追溯</t>
  </si>
  <si>
    <t>操作工（白）</t>
  </si>
  <si>
    <t>张景阳
许婷婷
柳小瑞
周</t>
  </si>
  <si>
    <t>汪正贤
王玲玲
柳小瑞
许婷婷
周</t>
  </si>
  <si>
    <t>汪正贤
胡雅娟
柳小瑞
周</t>
  </si>
  <si>
    <t>张景阳
许婷婷
陈杰
周</t>
  </si>
  <si>
    <t>张景阳
王玲玲
柳小瑞
周</t>
  </si>
  <si>
    <t>汪正贤
王玲玲
柳小瑞
吕</t>
  </si>
  <si>
    <t>柳
吕</t>
  </si>
  <si>
    <t>汪正贤
王玲玲
柳小瑞
周</t>
  </si>
  <si>
    <t>马江
王顺燕
刘荣
孟</t>
  </si>
  <si>
    <t>马江
王顺燕
刘荣
林</t>
  </si>
  <si>
    <t>张景阳
王顺燕
刘荣
孟</t>
  </si>
  <si>
    <t>马江
王顺燕
刘荣
罗</t>
  </si>
  <si>
    <t>汪正贤
王玲玲
杨艳丽</t>
  </si>
  <si>
    <t>操作工（夜）</t>
  </si>
  <si>
    <t>王鹏飞
王顺燕
刘荣
孟</t>
  </si>
  <si>
    <t>刘承龙
王顺燕
刘荣
孟</t>
  </si>
  <si>
    <t>马江
韩天天
刘荣 
孟</t>
  </si>
  <si>
    <t>汪正贤
许婷婷
柳小瑞
周</t>
  </si>
  <si>
    <t>王康
王玲玲
柳小瑞
周</t>
  </si>
  <si>
    <t>批次（外圈）</t>
  </si>
  <si>
    <t>J25F20B250628-2</t>
  </si>
  <si>
    <t>J25F21A250702</t>
  </si>
  <si>
    <t>J25F21A250702-2</t>
  </si>
  <si>
    <t>J25F21A250704-1</t>
  </si>
  <si>
    <t>J25F20B250705-1</t>
  </si>
  <si>
    <t>J25E25A250706-3</t>
  </si>
  <si>
    <t>J25F20B250706</t>
  </si>
  <si>
    <t>J25G11B250711-1</t>
  </si>
  <si>
    <t>J25G1A250711-5</t>
  </si>
  <si>
    <t>J25E25A250711-1</t>
  </si>
  <si>
    <t>J25E25A250714</t>
  </si>
  <si>
    <t>J25E25A250714-2</t>
  </si>
  <si>
    <t>J25G7C250718</t>
  </si>
  <si>
    <t>J25G5A250720-1</t>
  </si>
  <si>
    <t>J25G5A250720-10</t>
  </si>
  <si>
    <t>J25G7A250720-3</t>
  </si>
  <si>
    <t>J25G12B250723-1</t>
  </si>
  <si>
    <t>J25G12B250723-2</t>
  </si>
  <si>
    <t>J25G7D250720-2</t>
  </si>
  <si>
    <t>J25G5A250723-3</t>
  </si>
  <si>
    <t>J25G17A250723-6</t>
  </si>
  <si>
    <t>J25G7B250729-1</t>
  </si>
  <si>
    <t>批次（球环）</t>
  </si>
  <si>
    <t>J25F28A250625-3</t>
  </si>
  <si>
    <t>J25E16D250626-1</t>
  </si>
  <si>
    <t>J25E28A250702-1</t>
  </si>
  <si>
    <t>J25F28A250702-3</t>
  </si>
  <si>
    <t>J25F20B250704-1</t>
  </si>
  <si>
    <t>J25E28A250705-1</t>
  </si>
  <si>
    <t>J25F30A250707</t>
  </si>
  <si>
    <t>J25G1A250711</t>
  </si>
  <si>
    <t>J25G11A250711</t>
  </si>
  <si>
    <t>J25F30A250711-1</t>
  </si>
  <si>
    <t>J25E24B250711-4</t>
  </si>
  <si>
    <t>J25F24B250712</t>
  </si>
  <si>
    <t>J25F24B250714-1</t>
  </si>
  <si>
    <t>J25F30A250711-4</t>
  </si>
  <si>
    <t>J25E28A250719-1</t>
  </si>
  <si>
    <t>J25G5A250719-1</t>
  </si>
  <si>
    <t>J25G5C250721-2</t>
  </si>
  <si>
    <t>J25G5B250721-1</t>
  </si>
  <si>
    <t>J25G5B250723-1</t>
  </si>
  <si>
    <t>J25G5C250723-1</t>
  </si>
  <si>
    <t>J25G12A250727-2</t>
  </si>
  <si>
    <t>J25G12A250727-3</t>
  </si>
  <si>
    <t>批次（装配）</t>
  </si>
  <si>
    <t>J25F20A250706-1</t>
  </si>
  <si>
    <t>批次（全检）</t>
  </si>
  <si>
    <t>A250630</t>
  </si>
  <si>
    <t>A250703</t>
  </si>
  <si>
    <t>A250704</t>
  </si>
  <si>
    <t>A250707</t>
  </si>
  <si>
    <t>A250708</t>
  </si>
  <si>
    <t>A250709</t>
  </si>
  <si>
    <t>A250710</t>
  </si>
  <si>
    <t>A250711</t>
  </si>
  <si>
    <t>A250713</t>
  </si>
  <si>
    <t>A250714</t>
  </si>
  <si>
    <t>A250715</t>
  </si>
  <si>
    <t>A250716</t>
  </si>
  <si>
    <t>A250717</t>
  </si>
  <si>
    <t>A250718</t>
  </si>
  <si>
    <t>A250719</t>
  </si>
  <si>
    <t>A250722</t>
  </si>
  <si>
    <t>A250723</t>
  </si>
  <si>
    <t>A250724</t>
  </si>
  <si>
    <t>A250725</t>
  </si>
  <si>
    <t>A250728</t>
  </si>
  <si>
    <t>A250729</t>
  </si>
  <si>
    <t>A250731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</si>
</sst>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_);[Red]\(0.0\)"/>
    <numFmt numFmtId="179" formatCode="0.0"/>
    <numFmt numFmtId="180" formatCode="0.0%"/>
  </numFmts>
  <fonts count="16">
    <font>
      <sz val="11"/>
      <name val="ＭＳ Ｐゴシック"/>
      <charset val="134"/>
    </font>
    <font>
      <sz val="11"/>
      <color theme="1"/>
      <name val="宋体"/>
      <charset val="134"/>
      <scheme val="minor"/>
    </font>
    <font>
      <sz val="11"/>
      <name val="SimHei"/>
      <charset val="134"/>
    </font>
    <font>
      <sz val="11"/>
      <color rgb="FFFF0000"/>
      <name val="SimHei"/>
      <charset val="134"/>
    </font>
    <font>
      <b/>
      <sz val="16"/>
      <name val="SimHei"/>
      <charset val="134"/>
    </font>
    <font>
      <b/>
      <sz val="11"/>
      <name val="SimHei"/>
      <charset val="134"/>
    </font>
    <font>
      <sz val="11"/>
      <color indexed="12"/>
      <name val="SimHei"/>
      <charset val="134"/>
    </font>
    <font>
      <sz val="10"/>
      <name val="SimHei"/>
      <charset val="134"/>
    </font>
    <font>
      <sz val="11"/>
      <name val="黑体"/>
      <charset val="134"/>
    </font>
    <font>
      <b/>
      <sz val="12"/>
      <color theme="0"/>
      <name val="宋体"/>
      <charset val="134"/>
      <scheme val="minor"/>
    </font>
    <font>
      <sz val="11"/>
      <color indexed="8"/>
      <name val="宋体"/>
      <charset val="134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name val="ＭＳ Ｐゴシック"/>
      <family val="2"/>
    </font>
    <font>
      <sz val="9"/>
      <name val="ＭＳ Ｐゴシック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theme="4" tint="0.79995117038483843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3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</cellStyleXfs>
  <cellXfs count="10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ill="1">
      <alignment vertical="center"/>
    </xf>
    <xf numFmtId="178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2" fillId="5" borderId="0" xfId="0" applyFont="1" applyFill="1" applyAlignment="1">
      <alignment horizontal="left" vertical="center"/>
    </xf>
    <xf numFmtId="0" fontId="2" fillId="5" borderId="2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2" fillId="5" borderId="5" xfId="0" applyFont="1" applyFill="1" applyBorder="1">
      <alignment vertical="center"/>
    </xf>
    <xf numFmtId="0" fontId="5" fillId="5" borderId="0" xfId="0" applyFont="1" applyFill="1" applyAlignment="1">
      <alignment horizontal="right" vertical="center"/>
    </xf>
    <xf numFmtId="0" fontId="2" fillId="5" borderId="6" xfId="0" applyFont="1" applyFill="1" applyBorder="1">
      <alignment vertical="center"/>
    </xf>
    <xf numFmtId="0" fontId="2" fillId="5" borderId="7" xfId="0" applyFont="1" applyFill="1" applyBorder="1">
      <alignment vertical="center"/>
    </xf>
    <xf numFmtId="0" fontId="2" fillId="5" borderId="8" xfId="0" applyFont="1" applyFill="1" applyBorder="1">
      <alignment vertical="center"/>
    </xf>
    <xf numFmtId="0" fontId="2" fillId="5" borderId="9" xfId="0" applyFont="1" applyFill="1" applyBorder="1">
      <alignment vertical="center"/>
    </xf>
    <xf numFmtId="0" fontId="2" fillId="5" borderId="10" xfId="0" applyFont="1" applyFill="1" applyBorder="1">
      <alignment vertical="center"/>
    </xf>
    <xf numFmtId="0" fontId="2" fillId="5" borderId="11" xfId="0" applyFont="1" applyFill="1" applyBorder="1">
      <alignment vertical="center"/>
    </xf>
    <xf numFmtId="0" fontId="2" fillId="5" borderId="12" xfId="0" applyFont="1" applyFill="1" applyBorder="1">
      <alignment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9" fontId="2" fillId="4" borderId="15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80" fontId="2" fillId="4" borderId="15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right" vertical="center"/>
    </xf>
    <xf numFmtId="0" fontId="7" fillId="5" borderId="15" xfId="0" applyFont="1" applyFill="1" applyBorder="1" applyAlignment="1">
      <alignment horizontal="left" vertical="center"/>
    </xf>
    <xf numFmtId="0" fontId="2" fillId="4" borderId="1" xfId="0" applyFont="1" applyFill="1" applyBorder="1">
      <alignment vertical="center"/>
    </xf>
    <xf numFmtId="0" fontId="7" fillId="5" borderId="17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8" fillId="6" borderId="1" xfId="0" applyFont="1" applyFill="1" applyBorder="1" applyAlignment="1">
      <alignment horizontal="right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0" fillId="5" borderId="0" xfId="0" applyFill="1">
      <alignment vertical="center"/>
    </xf>
    <xf numFmtId="178" fontId="2" fillId="5" borderId="0" xfId="0" applyNumberFormat="1" applyFont="1" applyFill="1">
      <alignment vertical="center"/>
    </xf>
    <xf numFmtId="0" fontId="3" fillId="5" borderId="0" xfId="0" applyFont="1" applyFill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9" fontId="2" fillId="4" borderId="0" xfId="0" applyNumberFormat="1" applyFont="1" applyFill="1">
      <alignment vertical="center"/>
    </xf>
    <xf numFmtId="0" fontId="7" fillId="5" borderId="8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5" borderId="10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5" borderId="19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vertical="center" wrapText="1"/>
    </xf>
    <xf numFmtId="0" fontId="2" fillId="4" borderId="19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9" xfId="0" applyFont="1" applyFill="1" applyBorder="1">
      <alignment vertical="center"/>
    </xf>
    <xf numFmtId="0" fontId="2" fillId="6" borderId="1" xfId="0" applyFont="1" applyFill="1" applyBorder="1">
      <alignment vertical="center"/>
    </xf>
    <xf numFmtId="9" fontId="2" fillId="0" borderId="0" xfId="0" applyNumberFormat="1" applyFont="1">
      <alignment vertical="center"/>
    </xf>
    <xf numFmtId="0" fontId="2" fillId="5" borderId="1" xfId="0" applyFont="1" applyFill="1" applyBorder="1">
      <alignment vertical="center"/>
    </xf>
    <xf numFmtId="0" fontId="2" fillId="5" borderId="0" xfId="0" applyFont="1" applyFill="1" applyAlignment="1">
      <alignment horizontal="left" vertical="center"/>
    </xf>
    <xf numFmtId="178" fontId="2" fillId="5" borderId="18" xfId="0" applyNumberFormat="1" applyFont="1" applyFill="1" applyBorder="1" applyAlignment="1">
      <alignment horizontal="center" vertical="center"/>
    </xf>
    <xf numFmtId="178" fontId="2" fillId="5" borderId="19" xfId="0" applyNumberFormat="1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left" vertical="center" textRotation="255"/>
    </xf>
    <xf numFmtId="0" fontId="2" fillId="5" borderId="21" xfId="0" applyFont="1" applyFill="1" applyBorder="1" applyAlignment="1">
      <alignment horizontal="left" vertical="center" textRotation="255"/>
    </xf>
    <xf numFmtId="0" fontId="2" fillId="5" borderId="17" xfId="0" applyFont="1" applyFill="1" applyBorder="1" applyAlignment="1">
      <alignment horizontal="left" vertical="center" textRotation="255"/>
    </xf>
    <xf numFmtId="0" fontId="2" fillId="5" borderId="24" xfId="0" applyFont="1" applyFill="1" applyBorder="1" applyAlignment="1">
      <alignment horizontal="left" vertical="center" textRotation="255"/>
    </xf>
    <xf numFmtId="0" fontId="2" fillId="0" borderId="1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</cellXfs>
  <cellStyles count="4">
    <cellStyle name="常规" xfId="0" builtinId="0"/>
    <cellStyle name="常规 3" xfId="2" xr:uid="{00000000-0005-0000-0000-000032000000}"/>
    <cellStyle name="常规 3 2" xfId="1" xr:uid="{00000000-0005-0000-0000-000031000000}"/>
    <cellStyle name="常规 5" xfId="3" xr:uid="{00000000-0005-0000-0000-000033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145120238139402E-2"/>
          <c:y val="9.0914787039852202E-2"/>
          <c:w val="0.965803275321926"/>
          <c:h val="0.80686873497868905"/>
        </c:manualLayout>
      </c:layout>
      <c:lineChart>
        <c:grouping val="standard"/>
        <c:varyColors val="0"/>
        <c:ser>
          <c:idx val="0"/>
          <c:order val="0"/>
          <c:tx>
            <c:strRef>
              <c:f>A线!$A$34</c:f>
              <c:strCache>
                <c:ptCount val="1"/>
                <c:pt idx="0">
                  <c:v>总不良率</c:v>
                </c:pt>
              </c:strCache>
            </c:strRef>
          </c:tx>
          <c:spPr>
            <a:ln w="127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dLbls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75" b="0" i="0" u="none" strike="noStrike" kern="1200" baseline="0">
                    <a:solidFill>
                      <a:srgbClr val="00000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A线!$C$34:$AG$34</c:f>
              <c:numCache>
                <c:formatCode>0.0%</c:formatCode>
                <c:ptCount val="31"/>
                <c:pt idx="0">
                  <c:v>7.1321321321321301E-3</c:v>
                </c:pt>
                <c:pt idx="1">
                  <c:v>0</c:v>
                </c:pt>
                <c:pt idx="2">
                  <c:v>3.0370399777680701E-3</c:v>
                </c:pt>
                <c:pt idx="3">
                  <c:v>3.14476646535396E-3</c:v>
                </c:pt>
                <c:pt idx="4">
                  <c:v>4.4047723228610603E-3</c:v>
                </c:pt>
                <c:pt idx="5">
                  <c:v>0</c:v>
                </c:pt>
                <c:pt idx="6">
                  <c:v>1.9122817839738401E-3</c:v>
                </c:pt>
                <c:pt idx="7">
                  <c:v>2.1584548826865798E-3</c:v>
                </c:pt>
                <c:pt idx="8">
                  <c:v>2.1603264493301202E-3</c:v>
                </c:pt>
                <c:pt idx="9">
                  <c:v>4.3413959257669003E-3</c:v>
                </c:pt>
                <c:pt idx="10">
                  <c:v>1.4495087775809299E-3</c:v>
                </c:pt>
                <c:pt idx="11">
                  <c:v>2.84212784212784E-3</c:v>
                </c:pt>
                <c:pt idx="12">
                  <c:v>0</c:v>
                </c:pt>
                <c:pt idx="13">
                  <c:v>3.59186961848974E-3</c:v>
                </c:pt>
                <c:pt idx="14">
                  <c:v>2.0319349780807002E-3</c:v>
                </c:pt>
                <c:pt idx="15">
                  <c:v>3.0970185179242E-3</c:v>
                </c:pt>
                <c:pt idx="16">
                  <c:v>2.8615452344265902E-3</c:v>
                </c:pt>
                <c:pt idx="17">
                  <c:v>2.8051760021717501E-3</c:v>
                </c:pt>
                <c:pt idx="18">
                  <c:v>2.6373310620131998E-3</c:v>
                </c:pt>
                <c:pt idx="19">
                  <c:v>0</c:v>
                </c:pt>
                <c:pt idx="20">
                  <c:v>4.1705977268919796E-3</c:v>
                </c:pt>
                <c:pt idx="21">
                  <c:v>2.4358515440155801E-3</c:v>
                </c:pt>
                <c:pt idx="22">
                  <c:v>1.3587502713480601E-3</c:v>
                </c:pt>
                <c:pt idx="23">
                  <c:v>2.1619024741772802E-3</c:v>
                </c:pt>
                <c:pt idx="24">
                  <c:v>2.0396159105319001E-3</c:v>
                </c:pt>
                <c:pt idx="25">
                  <c:v>1.8918279787845001E-3</c:v>
                </c:pt>
                <c:pt idx="26">
                  <c:v>0</c:v>
                </c:pt>
                <c:pt idx="27">
                  <c:v>1.48014143573719E-3</c:v>
                </c:pt>
                <c:pt idx="28">
                  <c:v>1.8241978662412799E-3</c:v>
                </c:pt>
                <c:pt idx="29">
                  <c:v>1.9940664364573699E-3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BC-43D2-99CF-B0E8E7D829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919104"/>
        <c:axId val="91920640"/>
      </c:lineChart>
      <c:catAx>
        <c:axId val="91919104"/>
        <c:scaling>
          <c:orientation val="minMax"/>
        </c:scaling>
        <c:delete val="1"/>
        <c:axPos val="b"/>
        <c:majorTickMark val="out"/>
        <c:minorTickMark val="none"/>
        <c:tickLblPos val="none"/>
        <c:crossAx val="91920640"/>
        <c:crosses val="autoZero"/>
        <c:auto val="1"/>
        <c:lblAlgn val="ctr"/>
        <c:lblOffset val="100"/>
        <c:noMultiLvlLbl val="0"/>
      </c:catAx>
      <c:valAx>
        <c:axId val="91920640"/>
        <c:scaling>
          <c:orientation val="minMax"/>
          <c:min val="0"/>
        </c:scaling>
        <c:delete val="0"/>
        <c:axPos val="l"/>
        <c:numFmt formatCode="0%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225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91919104"/>
        <c:crosses val="autoZero"/>
        <c:crossBetween val="between"/>
        <c:majorUnit val="0.05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3362596216392402"/>
          <c:y val="6.2504175614411794E-2"/>
          <c:w val="7.1304795548262107E-2"/>
          <c:h val="0.1363719875924739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5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ad3a830-f080-49ab-8e44-47d91a4c13d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65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545178896300799E-2"/>
          <c:y val="7.1902268760907495E-2"/>
          <c:w val="0.96924196482716796"/>
          <c:h val="0.76963350785340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A线!$A$39</c:f>
              <c:strCache>
                <c:ptCount val="1"/>
                <c:pt idx="0">
                  <c:v>可动率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425" b="0" i="0" u="none" strike="noStrike" kern="1200" baseline="0">
                    <a:solidFill>
                      <a:srgbClr val="00000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A线!$C$39:$AG$39</c:f>
              <c:numCache>
                <c:formatCode>0.0%</c:formatCode>
                <c:ptCount val="31"/>
                <c:pt idx="0">
                  <c:v>0.42469565217391297</c:v>
                </c:pt>
                <c:pt idx="1">
                  <c:v>0</c:v>
                </c:pt>
                <c:pt idx="2">
                  <c:v>8.0312753623188406</c:v>
                </c:pt>
                <c:pt idx="3">
                  <c:v>4.4610579710144904</c:v>
                </c:pt>
                <c:pt idx="4">
                  <c:v>5.4650869565217404</c:v>
                </c:pt>
                <c:pt idx="5">
                  <c:v>0</c:v>
                </c:pt>
                <c:pt idx="6">
                  <c:v>6.4609057971014501</c:v>
                </c:pt>
                <c:pt idx="7">
                  <c:v>8.5306594202898491</c:v>
                </c:pt>
                <c:pt idx="8">
                  <c:v>8.9660362318840594</c:v>
                </c:pt>
                <c:pt idx="9">
                  <c:v>8.3540217391304292</c:v>
                </c:pt>
                <c:pt idx="10">
                  <c:v>5.9390434782608699</c:v>
                </c:pt>
                <c:pt idx="11">
                  <c:v>8.9186086956521695</c:v>
                </c:pt>
                <c:pt idx="12">
                  <c:v>0</c:v>
                </c:pt>
                <c:pt idx="13">
                  <c:v>9.4981014492753602</c:v>
                </c:pt>
                <c:pt idx="14">
                  <c:v>9.96408695652174</c:v>
                </c:pt>
                <c:pt idx="15">
                  <c:v>9.9347536231883993</c:v>
                </c:pt>
                <c:pt idx="16">
                  <c:v>10.139449275362299</c:v>
                </c:pt>
                <c:pt idx="17">
                  <c:v>8.8087681159420299</c:v>
                </c:pt>
                <c:pt idx="18">
                  <c:v>7.7675144927536204</c:v>
                </c:pt>
                <c:pt idx="19">
                  <c:v>0</c:v>
                </c:pt>
                <c:pt idx="20">
                  <c:v>9.0401666666666696</c:v>
                </c:pt>
                <c:pt idx="21">
                  <c:v>9.12992028985507</c:v>
                </c:pt>
                <c:pt idx="22">
                  <c:v>9.9142681159420292</c:v>
                </c:pt>
                <c:pt idx="23">
                  <c:v>9.9550000000000001</c:v>
                </c:pt>
                <c:pt idx="24">
                  <c:v>10.434615942029</c:v>
                </c:pt>
                <c:pt idx="25">
                  <c:v>4.7190000000000003</c:v>
                </c:pt>
                <c:pt idx="26">
                  <c:v>0</c:v>
                </c:pt>
                <c:pt idx="27">
                  <c:v>9.6935507246376797</c:v>
                </c:pt>
                <c:pt idx="28">
                  <c:v>10.0937753623188</c:v>
                </c:pt>
                <c:pt idx="29">
                  <c:v>4.9167608695652198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3-4363-A9C8-6809C9A1DE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2501888"/>
        <c:axId val="92503424"/>
      </c:barChart>
      <c:catAx>
        <c:axId val="925018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92503424"/>
        <c:crosses val="autoZero"/>
        <c:auto val="1"/>
        <c:lblAlgn val="ctr"/>
        <c:lblOffset val="100"/>
        <c:tickLblSkip val="1"/>
        <c:noMultiLvlLbl val="0"/>
      </c:catAx>
      <c:valAx>
        <c:axId val="92503424"/>
        <c:scaling>
          <c:orientation val="minMax"/>
          <c:max val="1"/>
          <c:min val="0"/>
        </c:scaling>
        <c:delete val="0"/>
        <c:axPos val="l"/>
        <c:numFmt formatCode="0%" sourceLinked="0"/>
        <c:majorTickMark val="in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92501888"/>
        <c:crosses val="autoZero"/>
        <c:crossBetween val="between"/>
        <c:majorUnit val="0.2"/>
        <c:minorUnit val="0.04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37648514472466"/>
          <c:y val="5.7594921053723498E-2"/>
          <c:w val="6.9930508978092804E-2"/>
          <c:h val="0.12566159596542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25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6e056a-03a4-4191-966d-129249d9e67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 sz="65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5</xdr:row>
      <xdr:rowOff>133350</xdr:rowOff>
    </xdr:from>
    <xdr:to>
      <xdr:col>33</xdr:col>
      <xdr:colOff>9525</xdr:colOff>
      <xdr:row>5</xdr:row>
      <xdr:rowOff>133350</xdr:rowOff>
    </xdr:to>
    <xdr:sp macro="" textlink="">
      <xdr:nvSpPr>
        <xdr:cNvPr id="66565149" name="Line 2">
          <a:extLst>
            <a:ext uri="{FF2B5EF4-FFF2-40B4-BE49-F238E27FC236}">
              <a16:creationId xmlns:a16="http://schemas.microsoft.com/office/drawing/2014/main" id="{00000000-0008-0000-0000-00001DB4F703}"/>
            </a:ext>
          </a:extLst>
        </xdr:cNvPr>
        <xdr:cNvSpPr>
          <a:spLocks noChangeShapeType="1"/>
        </xdr:cNvSpPr>
      </xdr:nvSpPr>
      <xdr:spPr>
        <a:xfrm>
          <a:off x="1452245" y="942975"/>
          <a:ext cx="19192875" cy="0"/>
        </a:xfrm>
        <a:prstGeom prst="line">
          <a:avLst/>
        </a:prstGeom>
        <a:noFill/>
        <a:ln w="22225">
          <a:solidFill>
            <a:srgbClr val="0000FF"/>
          </a:solidFill>
          <a:prstDash val="lgDashDot"/>
          <a:round/>
        </a:ln>
      </xdr:spPr>
    </xdr:sp>
    <xdr:clientData/>
  </xdr:twoCellAnchor>
  <xdr:twoCellAnchor>
    <xdr:from>
      <xdr:col>1</xdr:col>
      <xdr:colOff>361950</xdr:colOff>
      <xdr:row>6</xdr:row>
      <xdr:rowOff>9525</xdr:rowOff>
    </xdr:from>
    <xdr:to>
      <xdr:col>1</xdr:col>
      <xdr:colOff>895350</xdr:colOff>
      <xdr:row>7</xdr:row>
      <xdr:rowOff>104775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>
        <a:xfrm>
          <a:off x="720725" y="990600"/>
          <a:ext cx="533400" cy="266700"/>
        </a:xfrm>
        <a:prstGeom prst="rect">
          <a:avLst/>
        </a:prstGeom>
        <a:noFill/>
        <a:ln w="9525" cmpd="sng">
          <a:noFill/>
          <a:miter lim="800000"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900" b="0" i="0" strike="noStrike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分</a:t>
          </a:r>
          <a:r>
            <a:rPr lang="en-US" altLang="zh-CN" sz="900" b="0" i="0" strike="noStrike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/</a:t>
          </a:r>
          <a:r>
            <a:rPr lang="zh-CN" altLang="en-US" sz="900" b="0" i="0" strike="noStrike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台</a:t>
          </a:r>
        </a:p>
      </xdr:txBody>
    </xdr:sp>
    <xdr:clientData/>
  </xdr:twoCellAnchor>
  <xdr:twoCellAnchor>
    <xdr:from>
      <xdr:col>1</xdr:col>
      <xdr:colOff>19050</xdr:colOff>
      <xdr:row>2</xdr:row>
      <xdr:rowOff>19050</xdr:rowOff>
    </xdr:from>
    <xdr:to>
      <xdr:col>1</xdr:col>
      <xdr:colOff>714375</xdr:colOff>
      <xdr:row>4</xdr:row>
      <xdr:rowOff>114300</xdr:rowOff>
    </xdr:to>
    <xdr:sp macro="" textlink="">
      <xdr:nvSpPr>
        <xdr:cNvPr id="4" name="Rectangl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>
        <a:xfrm>
          <a:off x="377825" y="447675"/>
          <a:ext cx="695325" cy="30480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1100" b="1" i="0" strike="noStrike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可動率</a:t>
          </a:r>
        </a:p>
      </xdr:txBody>
    </xdr:sp>
    <xdr:clientData/>
  </xdr:twoCellAnchor>
  <xdr:twoCellAnchor>
    <xdr:from>
      <xdr:col>1</xdr:col>
      <xdr:colOff>657225</xdr:colOff>
      <xdr:row>12</xdr:row>
      <xdr:rowOff>123825</xdr:rowOff>
    </xdr:from>
    <xdr:to>
      <xdr:col>32</xdr:col>
      <xdr:colOff>504825</xdr:colOff>
      <xdr:row>22</xdr:row>
      <xdr:rowOff>85725</xdr:rowOff>
    </xdr:to>
    <xdr:graphicFrame macro="">
      <xdr:nvGraphicFramePr>
        <xdr:cNvPr id="66565152" name="Chart 6">
          <a:extLst>
            <a:ext uri="{FF2B5EF4-FFF2-40B4-BE49-F238E27FC236}">
              <a16:creationId xmlns:a16="http://schemas.microsoft.com/office/drawing/2014/main" id="{00000000-0008-0000-0000-000020B4F70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22</xdr:row>
      <xdr:rowOff>57150</xdr:rowOff>
    </xdr:from>
    <xdr:to>
      <xdr:col>32</xdr:col>
      <xdr:colOff>514350</xdr:colOff>
      <xdr:row>22</xdr:row>
      <xdr:rowOff>57150</xdr:rowOff>
    </xdr:to>
    <xdr:sp macro="" textlink="">
      <xdr:nvSpPr>
        <xdr:cNvPr id="66565153" name="Line 7">
          <a:extLst>
            <a:ext uri="{FF2B5EF4-FFF2-40B4-BE49-F238E27FC236}">
              <a16:creationId xmlns:a16="http://schemas.microsoft.com/office/drawing/2014/main" id="{00000000-0008-0000-0000-000021B4F703}"/>
            </a:ext>
          </a:extLst>
        </xdr:cNvPr>
        <xdr:cNvSpPr>
          <a:spLocks noChangeShapeType="1"/>
        </xdr:cNvSpPr>
      </xdr:nvSpPr>
      <xdr:spPr>
        <a:xfrm>
          <a:off x="1442720" y="3781425"/>
          <a:ext cx="19088100" cy="0"/>
        </a:xfrm>
        <a:prstGeom prst="line">
          <a:avLst/>
        </a:prstGeom>
        <a:noFill/>
        <a:ln w="22225">
          <a:solidFill>
            <a:srgbClr val="0000FF"/>
          </a:solidFill>
          <a:prstDash val="lgDashDot"/>
          <a:round/>
        </a:ln>
      </xdr:spPr>
    </xdr:sp>
    <xdr:clientData/>
  </xdr:twoCellAnchor>
  <xdr:twoCellAnchor>
    <xdr:from>
      <xdr:col>1</xdr:col>
      <xdr:colOff>28575</xdr:colOff>
      <xdr:row>14</xdr:row>
      <xdr:rowOff>161925</xdr:rowOff>
    </xdr:from>
    <xdr:to>
      <xdr:col>1</xdr:col>
      <xdr:colOff>723900</xdr:colOff>
      <xdr:row>16</xdr:row>
      <xdr:rowOff>104775</xdr:rowOff>
    </xdr:to>
    <xdr:sp macro="" textlink="">
      <xdr:nvSpPr>
        <xdr:cNvPr id="7" name="Rectangle 8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>
        <a:xfrm>
          <a:off x="387350" y="2514600"/>
          <a:ext cx="695325" cy="285750"/>
        </a:xfrm>
        <a:prstGeom prst="rect">
          <a:avLst/>
        </a:prstGeom>
        <a:noFill/>
        <a:ln w="38100" cmpd="dbl">
          <a:solidFill>
            <a:srgbClr val="000000"/>
          </a:solidFill>
          <a:miter lim="800000"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zh-CN" altLang="en-US" sz="1100" b="1" i="0" strike="noStrike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</a:rPr>
            <a:t>不良率</a:t>
          </a:r>
        </a:p>
      </xdr:txBody>
    </xdr:sp>
    <xdr:clientData/>
  </xdr:twoCellAnchor>
  <xdr:twoCellAnchor>
    <xdr:from>
      <xdr:col>13</xdr:col>
      <xdr:colOff>361950</xdr:colOff>
      <xdr:row>0</xdr:row>
      <xdr:rowOff>47625</xdr:rowOff>
    </xdr:from>
    <xdr:to>
      <xdr:col>20</xdr:col>
      <xdr:colOff>419100</xdr:colOff>
      <xdr:row>3</xdr:row>
      <xdr:rowOff>38100</xdr:rowOff>
    </xdr:to>
    <xdr:sp macro="" textlink="">
      <xdr:nvSpPr>
        <xdr:cNvPr id="8" name="Text Box 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>
        <a:xfrm>
          <a:off x="8615045" y="47625"/>
          <a:ext cx="4391025" cy="457200"/>
        </a:xfrm>
        <a:prstGeom prst="rect">
          <a:avLst/>
        </a:prstGeom>
        <a:solidFill>
          <a:srgbClr val="FFFFFF"/>
        </a:solidFill>
        <a:ln w="9252" cmpd="sng">
          <a:solidFill>
            <a:srgbClr val="000000"/>
          </a:solidFill>
          <a:miter lim="800000"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zh-CN" sz="2800" b="0" i="0" strike="noStrike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rPr>
            <a:t>DS2160A-01	</a:t>
          </a:r>
        </a:p>
        <a:p>
          <a:pPr algn="ctr" rtl="0">
            <a:defRPr sz="1000"/>
          </a:pPr>
          <a:endParaRPr lang="en-US" altLang="zh-CN" sz="2800" b="0" i="0" strike="noStrike">
            <a:solidFill>
              <a:srgbClr val="000000"/>
            </a:solidFill>
            <a:latin typeface="黑体" panose="02010609060101010101" charset="-122"/>
            <a:ea typeface="黑体" panose="02010609060101010101" charset="-122"/>
          </a:endParaRPr>
        </a:p>
      </xdr:txBody>
    </xdr:sp>
    <xdr:clientData/>
  </xdr:twoCellAnchor>
  <xdr:twoCellAnchor>
    <xdr:from>
      <xdr:col>2</xdr:col>
      <xdr:colOff>66675</xdr:colOff>
      <xdr:row>3</xdr:row>
      <xdr:rowOff>66675</xdr:rowOff>
    </xdr:from>
    <xdr:to>
      <xdr:col>32</xdr:col>
      <xdr:colOff>361950</xdr:colOff>
      <xdr:row>14</xdr:row>
      <xdr:rowOff>0</xdr:rowOff>
    </xdr:to>
    <xdr:graphicFrame macro="">
      <xdr:nvGraphicFramePr>
        <xdr:cNvPr id="66565156" name="Chart 12">
          <a:extLst>
            <a:ext uri="{FF2B5EF4-FFF2-40B4-BE49-F238E27FC236}">
              <a16:creationId xmlns:a16="http://schemas.microsoft.com/office/drawing/2014/main" id="{00000000-0008-0000-0000-000024B4F703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114"/>
  <sheetViews>
    <sheetView tabSelected="1" zoomScale="110" zoomScaleNormal="110" workbookViewId="0">
      <pane xSplit="2" ySplit="25" topLeftCell="C29" activePane="bottomRight" state="frozen"/>
      <selection pane="topRight"/>
      <selection pane="bottomLeft"/>
      <selection pane="bottomRight" activeCell="Y41" sqref="Y41"/>
    </sheetView>
  </sheetViews>
  <sheetFormatPr defaultColWidth="9" defaultRowHeight="13.5"/>
  <cols>
    <col min="1" max="1" width="5" style="6" customWidth="1"/>
    <col min="2" max="2" width="15.125" style="6" customWidth="1"/>
    <col min="3" max="24" width="8.625" style="6" customWidth="1"/>
    <col min="25" max="25" width="8.625" style="9" customWidth="1"/>
    <col min="26" max="32" width="8.625" style="6" customWidth="1"/>
    <col min="33" max="33" width="8.625" style="10" customWidth="1"/>
    <col min="34" max="34" width="0.625" style="6" customWidth="1"/>
    <col min="35" max="16384" width="9" style="6"/>
  </cols>
  <sheetData>
    <row r="1" spans="1:35" ht="20.25">
      <c r="A1" s="10"/>
      <c r="B1" s="10"/>
      <c r="C1" s="11"/>
      <c r="D1" s="10"/>
      <c r="E1" s="10"/>
      <c r="F1" s="10"/>
      <c r="G1" s="10"/>
      <c r="H1" s="10"/>
      <c r="I1" s="10"/>
      <c r="J1" s="10"/>
      <c r="K1" s="10"/>
      <c r="L1" s="37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37"/>
      <c r="Z1" s="10"/>
      <c r="AA1" s="10"/>
      <c r="AB1" s="10"/>
      <c r="AC1" s="103"/>
      <c r="AD1" s="103"/>
      <c r="AE1" s="103"/>
      <c r="AF1" s="103"/>
      <c r="AG1" s="103"/>
      <c r="AH1" s="10"/>
      <c r="AI1" s="10"/>
    </row>
    <row r="2" spans="1: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37"/>
      <c r="Z2" s="10"/>
      <c r="AA2" s="10"/>
      <c r="AB2" s="10"/>
      <c r="AC2" s="103"/>
      <c r="AD2" s="103"/>
      <c r="AE2" s="103"/>
      <c r="AF2" s="103"/>
      <c r="AG2" s="103"/>
      <c r="AH2" s="10"/>
      <c r="AI2" s="10"/>
    </row>
    <row r="3" spans="1:35" ht="3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37"/>
      <c r="Z3" s="10"/>
      <c r="AA3" s="10"/>
      <c r="AB3" s="10"/>
      <c r="AC3" s="10"/>
      <c r="AD3" s="10"/>
      <c r="AE3" s="10"/>
      <c r="AF3" s="10"/>
      <c r="AH3" s="10"/>
      <c r="AI3" s="10"/>
    </row>
    <row r="4" spans="1:35">
      <c r="A4" s="70"/>
      <c r="B4" s="70"/>
      <c r="C4" s="13"/>
      <c r="D4" s="13"/>
      <c r="E4" s="10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41"/>
      <c r="Z4" s="13"/>
      <c r="AA4" s="13"/>
      <c r="AB4" s="13"/>
      <c r="AC4" s="13"/>
      <c r="AD4" s="13"/>
      <c r="AE4" s="13"/>
      <c r="AF4" s="13"/>
      <c r="AG4" s="13"/>
      <c r="AH4" s="10"/>
      <c r="AI4" s="10"/>
    </row>
    <row r="5" spans="1:35">
      <c r="A5" s="10"/>
      <c r="B5" s="10"/>
      <c r="C5" s="14"/>
      <c r="D5" s="15"/>
      <c r="E5" s="16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42"/>
      <c r="Z5" s="15"/>
      <c r="AA5" s="15"/>
      <c r="AB5" s="15"/>
      <c r="AC5" s="15"/>
      <c r="AD5" s="15"/>
      <c r="AE5" s="15"/>
      <c r="AF5" s="15"/>
      <c r="AG5" s="15"/>
      <c r="AH5" s="10"/>
      <c r="AI5" s="10"/>
    </row>
    <row r="6" spans="1:35">
      <c r="A6" s="10" t="s">
        <v>0</v>
      </c>
      <c r="B6" s="10"/>
      <c r="C6" s="14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42"/>
      <c r="Z6" s="15"/>
      <c r="AA6" s="15"/>
      <c r="AB6" s="15"/>
      <c r="AC6" s="15"/>
      <c r="AD6" s="15"/>
      <c r="AE6" s="15"/>
      <c r="AF6" s="15"/>
      <c r="AG6" s="15"/>
      <c r="AH6" s="10"/>
      <c r="AI6" s="10"/>
    </row>
    <row r="7" spans="1:35">
      <c r="A7" s="17" t="s">
        <v>1</v>
      </c>
      <c r="B7" s="12">
        <v>0.11</v>
      </c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42"/>
      <c r="Z7" s="15"/>
      <c r="AA7" s="15"/>
      <c r="AB7" s="15"/>
      <c r="AC7" s="15"/>
      <c r="AD7" s="15"/>
      <c r="AE7" s="15"/>
      <c r="AF7" s="15"/>
      <c r="AG7" s="15"/>
      <c r="AH7" s="10"/>
      <c r="AI7" s="10"/>
    </row>
    <row r="8" spans="1:35">
      <c r="A8" s="10"/>
      <c r="B8" s="10"/>
      <c r="C8" s="14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42"/>
      <c r="Z8" s="15"/>
      <c r="AA8" s="15"/>
      <c r="AB8" s="15"/>
      <c r="AC8" s="15"/>
      <c r="AD8" s="15"/>
      <c r="AE8" s="15"/>
      <c r="AF8" s="15"/>
      <c r="AG8" s="15"/>
      <c r="AH8" s="10"/>
      <c r="AI8" s="10"/>
    </row>
    <row r="9" spans="1:35">
      <c r="A9" s="10"/>
      <c r="B9" s="12"/>
      <c r="C9" s="14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42"/>
      <c r="Z9" s="15"/>
      <c r="AA9" s="15"/>
      <c r="AB9" s="15"/>
      <c r="AC9" s="15"/>
      <c r="AD9" s="15"/>
      <c r="AE9" s="15"/>
      <c r="AF9" s="15"/>
      <c r="AG9" s="15"/>
      <c r="AH9" s="10"/>
      <c r="AI9" s="10"/>
    </row>
    <row r="10" spans="1:35">
      <c r="A10" s="17"/>
      <c r="B10" s="12"/>
      <c r="C10" s="14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42"/>
      <c r="Z10" s="15"/>
      <c r="AA10" s="15"/>
      <c r="AB10" s="15"/>
      <c r="AC10" s="15"/>
      <c r="AD10" s="15"/>
      <c r="AE10" s="15"/>
      <c r="AF10" s="15"/>
      <c r="AG10" s="15"/>
      <c r="AH10" s="10"/>
      <c r="AI10" s="10"/>
    </row>
    <row r="11" spans="1:35">
      <c r="A11" s="10"/>
      <c r="B11" s="10"/>
      <c r="C11" s="14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42"/>
      <c r="Z11" s="15"/>
      <c r="AA11" s="15"/>
      <c r="AB11" s="15"/>
      <c r="AC11" s="15"/>
      <c r="AD11" s="15"/>
      <c r="AE11" s="15"/>
      <c r="AF11" s="15"/>
      <c r="AG11" s="15"/>
      <c r="AH11" s="10"/>
      <c r="AI11" s="10"/>
    </row>
    <row r="12" spans="1:35">
      <c r="A12" s="10"/>
      <c r="B12" s="12"/>
      <c r="C12" s="14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42"/>
      <c r="Z12" s="15"/>
      <c r="AA12" s="15"/>
      <c r="AB12" s="15"/>
      <c r="AC12" s="15"/>
      <c r="AD12" s="15"/>
      <c r="AE12" s="15"/>
      <c r="AF12" s="15"/>
      <c r="AG12" s="15"/>
      <c r="AH12" s="10"/>
      <c r="AI12" s="10"/>
    </row>
    <row r="13" spans="1:35">
      <c r="A13" s="17"/>
      <c r="B13" s="12"/>
      <c r="C13" s="14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42"/>
      <c r="Z13" s="15"/>
      <c r="AA13" s="15"/>
      <c r="AB13" s="15"/>
      <c r="AC13" s="15"/>
      <c r="AD13" s="15"/>
      <c r="AE13" s="15"/>
      <c r="AF13" s="15"/>
      <c r="AG13" s="15"/>
      <c r="AH13" s="10"/>
      <c r="AI13" s="10"/>
    </row>
    <row r="14" spans="1:35">
      <c r="A14" s="10"/>
      <c r="B14" s="10"/>
      <c r="C14" s="18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43"/>
      <c r="Z14" s="19"/>
      <c r="AA14" s="19"/>
      <c r="AB14" s="19"/>
      <c r="AC14" s="19"/>
      <c r="AD14" s="19"/>
      <c r="AE14" s="19"/>
      <c r="AF14" s="19"/>
      <c r="AG14" s="19"/>
      <c r="AH14" s="10"/>
      <c r="AI14" s="10"/>
    </row>
    <row r="15" spans="1:3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37"/>
      <c r="Z15" s="10"/>
      <c r="AA15" s="10"/>
      <c r="AB15" s="10"/>
      <c r="AC15" s="10"/>
      <c r="AD15" s="10"/>
      <c r="AE15" s="10"/>
      <c r="AF15" s="10"/>
      <c r="AH15" s="10"/>
      <c r="AI15" s="10"/>
    </row>
    <row r="16" spans="1:35">
      <c r="A16" s="10"/>
      <c r="B16" s="10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44"/>
      <c r="Z16" s="16"/>
      <c r="AA16" s="16"/>
      <c r="AB16" s="16"/>
      <c r="AC16" s="16"/>
      <c r="AD16" s="16"/>
      <c r="AE16" s="16"/>
      <c r="AF16" s="16"/>
      <c r="AG16" s="16"/>
      <c r="AH16" s="10"/>
      <c r="AI16" s="10"/>
    </row>
    <row r="17" spans="1:35">
      <c r="A17" s="10"/>
      <c r="B17" s="10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44"/>
      <c r="Z17" s="16"/>
      <c r="AA17" s="16"/>
      <c r="AB17" s="16"/>
      <c r="AC17" s="16"/>
      <c r="AD17" s="16"/>
      <c r="AE17" s="16"/>
      <c r="AF17" s="16"/>
      <c r="AG17" s="16"/>
      <c r="AH17" s="10"/>
      <c r="AI17" s="10"/>
    </row>
    <row r="18" spans="1:35">
      <c r="A18" s="10"/>
      <c r="B18" s="10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4"/>
      <c r="Z18" s="16"/>
      <c r="AA18" s="16"/>
      <c r="AB18" s="16"/>
      <c r="AC18" s="16"/>
      <c r="AD18" s="16"/>
      <c r="AE18" s="16"/>
      <c r="AF18" s="16"/>
      <c r="AG18" s="16"/>
      <c r="AH18" s="10"/>
      <c r="AI18" s="10"/>
    </row>
    <row r="19" spans="1:35">
      <c r="A19" s="10"/>
      <c r="B19" s="10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44"/>
      <c r="Z19" s="16"/>
      <c r="AA19" s="16"/>
      <c r="AB19" s="16"/>
      <c r="AC19" s="16"/>
      <c r="AD19" s="16"/>
      <c r="AE19" s="16"/>
      <c r="AF19" s="16"/>
      <c r="AG19" s="16"/>
      <c r="AH19" s="10"/>
      <c r="AI19" s="10"/>
    </row>
    <row r="20" spans="1:35">
      <c r="A20" s="10"/>
      <c r="B20" s="10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44"/>
      <c r="Z20" s="16"/>
      <c r="AA20" s="16"/>
      <c r="AB20" s="16"/>
      <c r="AC20" s="16"/>
      <c r="AD20" s="16"/>
      <c r="AE20" s="16"/>
      <c r="AF20" s="16"/>
      <c r="AG20" s="16"/>
      <c r="AH20" s="10"/>
      <c r="AI20" s="10"/>
    </row>
    <row r="21" spans="1:35">
      <c r="A21" s="10"/>
      <c r="B21" s="10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44"/>
      <c r="Z21" s="16"/>
      <c r="AA21" s="16"/>
      <c r="AB21" s="16"/>
      <c r="AC21" s="16"/>
      <c r="AD21" s="16"/>
      <c r="AE21" s="16"/>
      <c r="AF21" s="16"/>
      <c r="AG21" s="16"/>
      <c r="AH21" s="10"/>
      <c r="AI21" s="10"/>
    </row>
    <row r="22" spans="1:35">
      <c r="A22" s="10"/>
      <c r="B22" s="20"/>
      <c r="C22" s="21"/>
      <c r="D22" s="16"/>
      <c r="E22" s="16"/>
      <c r="F22" s="16"/>
      <c r="G22" s="16"/>
      <c r="H22" s="16"/>
      <c r="I22" s="16"/>
      <c r="J22" s="16" t="s">
        <v>2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44"/>
      <c r="Z22" s="16"/>
      <c r="AA22" s="16"/>
      <c r="AB22" s="16"/>
      <c r="AC22" s="16"/>
      <c r="AD22" s="16"/>
      <c r="AE22" s="16"/>
      <c r="AF22" s="16"/>
      <c r="AG22" s="16"/>
      <c r="AH22" s="10"/>
      <c r="AI22" s="10"/>
    </row>
    <row r="23" spans="1:35">
      <c r="A23" s="10"/>
      <c r="B23" s="22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45"/>
      <c r="Z23" s="24"/>
      <c r="AA23" s="24"/>
      <c r="AB23" s="24"/>
      <c r="AC23" s="24"/>
      <c r="AD23" s="24"/>
      <c r="AE23" s="24"/>
      <c r="AF23" s="24"/>
      <c r="AG23" s="24"/>
      <c r="AH23" s="10"/>
      <c r="AI23" s="10"/>
    </row>
    <row r="24" spans="1:35" s="3" customFormat="1" ht="11.25" customHeight="1">
      <c r="A24" s="104"/>
      <c r="B24" s="95"/>
      <c r="C24" s="95">
        <v>1</v>
      </c>
      <c r="D24" s="97">
        <v>2</v>
      </c>
      <c r="E24" s="97">
        <v>3</v>
      </c>
      <c r="F24" s="97">
        <v>4</v>
      </c>
      <c r="G24" s="97">
        <v>5</v>
      </c>
      <c r="H24" s="97">
        <v>6</v>
      </c>
      <c r="I24" s="99">
        <v>7</v>
      </c>
      <c r="J24" s="97">
        <v>8</v>
      </c>
      <c r="K24" s="97">
        <v>9</v>
      </c>
      <c r="L24" s="97">
        <v>10</v>
      </c>
      <c r="M24" s="97">
        <v>11</v>
      </c>
      <c r="N24" s="97">
        <v>12</v>
      </c>
      <c r="O24" s="101">
        <v>13</v>
      </c>
      <c r="P24" s="97">
        <v>14</v>
      </c>
      <c r="Q24" s="97">
        <v>15</v>
      </c>
      <c r="R24" s="97">
        <v>16</v>
      </c>
      <c r="S24" s="97">
        <v>17</v>
      </c>
      <c r="T24" s="99">
        <v>18</v>
      </c>
      <c r="U24" s="97">
        <v>19</v>
      </c>
      <c r="V24" s="97">
        <v>20</v>
      </c>
      <c r="W24" s="99">
        <v>21</v>
      </c>
      <c r="X24" s="97">
        <v>22</v>
      </c>
      <c r="Y24" s="97">
        <v>23</v>
      </c>
      <c r="Z24" s="97">
        <v>24</v>
      </c>
      <c r="AA24" s="97">
        <v>25</v>
      </c>
      <c r="AB24" s="97">
        <v>26</v>
      </c>
      <c r="AC24" s="97">
        <v>27</v>
      </c>
      <c r="AD24" s="97">
        <v>28</v>
      </c>
      <c r="AE24" s="97">
        <v>29</v>
      </c>
      <c r="AF24" s="97">
        <v>30</v>
      </c>
      <c r="AG24" s="97">
        <v>31</v>
      </c>
      <c r="AH24" s="46"/>
      <c r="AI24" s="46"/>
    </row>
    <row r="25" spans="1:35" s="3" customFormat="1" ht="10.5" customHeight="1">
      <c r="A25" s="105"/>
      <c r="B25" s="96"/>
      <c r="C25" s="96"/>
      <c r="D25" s="98"/>
      <c r="E25" s="98"/>
      <c r="F25" s="98"/>
      <c r="G25" s="98"/>
      <c r="H25" s="98"/>
      <c r="I25" s="100"/>
      <c r="J25" s="98"/>
      <c r="K25" s="98"/>
      <c r="L25" s="98"/>
      <c r="M25" s="98"/>
      <c r="N25" s="98"/>
      <c r="O25" s="102"/>
      <c r="P25" s="98"/>
      <c r="Q25" s="98"/>
      <c r="R25" s="98"/>
      <c r="S25" s="98"/>
      <c r="T25" s="100"/>
      <c r="U25" s="98"/>
      <c r="V25" s="98"/>
      <c r="W25" s="100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46"/>
      <c r="AI25" s="46"/>
    </row>
    <row r="26" spans="1:35" s="4" customFormat="1" ht="16.5" customHeight="1">
      <c r="A26" s="71" t="s">
        <v>3</v>
      </c>
      <c r="B26" s="72"/>
      <c r="C26" s="25">
        <v>11.5</v>
      </c>
      <c r="D26" s="25">
        <v>11.5</v>
      </c>
      <c r="E26" s="25">
        <v>11.5</v>
      </c>
      <c r="F26" s="25">
        <v>11.5</v>
      </c>
      <c r="G26" s="25">
        <v>11.5</v>
      </c>
      <c r="H26" s="25">
        <v>11.5</v>
      </c>
      <c r="I26" s="25">
        <v>11.5</v>
      </c>
      <c r="J26" s="25">
        <v>11.5</v>
      </c>
      <c r="K26" s="25">
        <v>11.5</v>
      </c>
      <c r="L26" s="25">
        <v>11.5</v>
      </c>
      <c r="M26" s="25">
        <v>11.5</v>
      </c>
      <c r="N26" s="25">
        <v>11.5</v>
      </c>
      <c r="O26" s="25">
        <v>11.5</v>
      </c>
      <c r="P26" s="25">
        <v>11.5</v>
      </c>
      <c r="Q26" s="25">
        <v>11.5</v>
      </c>
      <c r="R26" s="25">
        <v>11.5</v>
      </c>
      <c r="S26" s="25">
        <v>11.5</v>
      </c>
      <c r="T26" s="25">
        <v>11.5</v>
      </c>
      <c r="U26" s="25">
        <v>11.5</v>
      </c>
      <c r="V26" s="25">
        <v>11.5</v>
      </c>
      <c r="W26" s="25">
        <v>11.5</v>
      </c>
      <c r="X26" s="25">
        <v>11.5</v>
      </c>
      <c r="Y26" s="25">
        <v>11.5</v>
      </c>
      <c r="Z26" s="25">
        <v>11.5</v>
      </c>
      <c r="AA26" s="25">
        <v>11.5</v>
      </c>
      <c r="AB26" s="25">
        <v>11.5</v>
      </c>
      <c r="AC26" s="25">
        <v>11.5</v>
      </c>
      <c r="AD26" s="25">
        <v>11.5</v>
      </c>
      <c r="AE26" s="25">
        <v>11.5</v>
      </c>
      <c r="AF26" s="25">
        <v>11.5</v>
      </c>
      <c r="AG26" s="25">
        <v>11.5</v>
      </c>
      <c r="AH26" s="47"/>
      <c r="AI26" s="25">
        <f t="shared" ref="AI26:AI29" si="0">SUM(C26:AG26)</f>
        <v>356.5</v>
      </c>
    </row>
    <row r="27" spans="1:35" s="5" customFormat="1" ht="16.5" customHeight="1">
      <c r="A27" s="73" t="s">
        <v>4</v>
      </c>
      <c r="B27" s="74"/>
      <c r="C27" s="26">
        <v>5290</v>
      </c>
      <c r="D27" s="26">
        <v>0</v>
      </c>
      <c r="E27" s="26">
        <v>39880</v>
      </c>
      <c r="F27" s="26">
        <v>55790</v>
      </c>
      <c r="G27" s="26">
        <v>26530</v>
      </c>
      <c r="H27" s="26">
        <v>0</v>
      </c>
      <c r="I27" s="26">
        <v>29160</v>
      </c>
      <c r="J27" s="26">
        <v>47320</v>
      </c>
      <c r="K27" s="26">
        <v>52880</v>
      </c>
      <c r="L27" s="26">
        <v>46000</v>
      </c>
      <c r="M27" s="26">
        <v>17200</v>
      </c>
      <c r="N27" s="26">
        <v>51690</v>
      </c>
      <c r="O27" s="26">
        <v>0</v>
      </c>
      <c r="P27" s="26">
        <v>58300</v>
      </c>
      <c r="Q27" s="26">
        <v>60030</v>
      </c>
      <c r="R27" s="26">
        <v>61760</v>
      </c>
      <c r="S27" s="26">
        <v>62270</v>
      </c>
      <c r="T27" s="26">
        <v>51290</v>
      </c>
      <c r="U27" s="26">
        <v>38300</v>
      </c>
      <c r="V27" s="26">
        <v>0</v>
      </c>
      <c r="W27" s="26">
        <v>56010</v>
      </c>
      <c r="X27" s="26">
        <v>50390</v>
      </c>
      <c r="Y27" s="26">
        <v>60920</v>
      </c>
      <c r="Z27" s="26">
        <v>61650</v>
      </c>
      <c r="AA27" s="26">
        <v>63410</v>
      </c>
      <c r="AB27" s="26">
        <v>59090</v>
      </c>
      <c r="AC27" s="26">
        <v>0</v>
      </c>
      <c r="AD27" s="26">
        <v>57530</v>
      </c>
      <c r="AE27" s="26">
        <v>62270</v>
      </c>
      <c r="AF27" s="26">
        <v>61560</v>
      </c>
      <c r="AG27" s="26">
        <v>0</v>
      </c>
      <c r="AH27" s="48"/>
      <c r="AI27" s="26">
        <f t="shared" si="0"/>
        <v>1236520</v>
      </c>
    </row>
    <row r="28" spans="1:35" s="4" customFormat="1" ht="16.5" customHeight="1">
      <c r="A28" s="71" t="s">
        <v>5</v>
      </c>
      <c r="B28" s="72"/>
      <c r="C28" s="25">
        <v>11.5</v>
      </c>
      <c r="D28" s="25">
        <v>11.5</v>
      </c>
      <c r="E28" s="25">
        <v>11.5</v>
      </c>
      <c r="F28" s="25">
        <v>11.5</v>
      </c>
      <c r="G28" s="25">
        <v>11.5</v>
      </c>
      <c r="H28" s="25">
        <v>11.5</v>
      </c>
      <c r="I28" s="25">
        <v>11.5</v>
      </c>
      <c r="J28" s="25">
        <v>11.5</v>
      </c>
      <c r="K28" s="25">
        <v>11.5</v>
      </c>
      <c r="L28" s="25">
        <v>11.5</v>
      </c>
      <c r="M28" s="25">
        <v>11.5</v>
      </c>
      <c r="N28" s="25">
        <v>11.5</v>
      </c>
      <c r="O28" s="25">
        <v>11.5</v>
      </c>
      <c r="P28" s="25">
        <v>11.5</v>
      </c>
      <c r="Q28" s="25">
        <v>11.5</v>
      </c>
      <c r="R28" s="25">
        <v>11.5</v>
      </c>
      <c r="S28" s="25">
        <v>11.5</v>
      </c>
      <c r="T28" s="25">
        <v>11.5</v>
      </c>
      <c r="U28" s="25">
        <v>11.5</v>
      </c>
      <c r="V28" s="25">
        <v>11.5</v>
      </c>
      <c r="W28" s="25">
        <v>11.5</v>
      </c>
      <c r="X28" s="25">
        <v>11.5</v>
      </c>
      <c r="Y28" s="25">
        <v>11.5</v>
      </c>
      <c r="Z28" s="25">
        <v>11.5</v>
      </c>
      <c r="AA28" s="25">
        <v>11.5</v>
      </c>
      <c r="AB28" s="25">
        <v>11.5</v>
      </c>
      <c r="AC28" s="25">
        <v>11.5</v>
      </c>
      <c r="AD28" s="25">
        <v>11.5</v>
      </c>
      <c r="AE28" s="25">
        <v>11.5</v>
      </c>
      <c r="AF28" s="25">
        <v>11.5</v>
      </c>
      <c r="AG28" s="25">
        <v>11.5</v>
      </c>
      <c r="AH28" s="47"/>
      <c r="AI28" s="25">
        <f t="shared" si="0"/>
        <v>356.5</v>
      </c>
    </row>
    <row r="29" spans="1:35" ht="16.5" customHeight="1">
      <c r="A29" s="75" t="s">
        <v>6</v>
      </c>
      <c r="B29" s="76"/>
      <c r="C29" s="27">
        <v>0</v>
      </c>
      <c r="D29" s="27">
        <v>0</v>
      </c>
      <c r="E29" s="27">
        <v>60570</v>
      </c>
      <c r="F29" s="27">
        <v>0</v>
      </c>
      <c r="G29" s="27">
        <v>41730</v>
      </c>
      <c r="H29" s="27">
        <v>0</v>
      </c>
      <c r="I29" s="27">
        <v>51740</v>
      </c>
      <c r="J29" s="27">
        <v>59470</v>
      </c>
      <c r="K29" s="27">
        <v>59360</v>
      </c>
      <c r="L29" s="27">
        <v>58350</v>
      </c>
      <c r="M29" s="27">
        <v>57200</v>
      </c>
      <c r="N29" s="27">
        <v>59880</v>
      </c>
      <c r="O29" s="27">
        <v>0</v>
      </c>
      <c r="P29" s="27">
        <v>60430</v>
      </c>
      <c r="Q29" s="27">
        <v>64720</v>
      </c>
      <c r="R29" s="27">
        <v>62490</v>
      </c>
      <c r="S29" s="27">
        <v>64570</v>
      </c>
      <c r="T29" s="27">
        <v>58910</v>
      </c>
      <c r="U29" s="27">
        <v>58890</v>
      </c>
      <c r="V29" s="27"/>
      <c r="W29" s="27">
        <v>56930</v>
      </c>
      <c r="X29" s="27">
        <v>63870</v>
      </c>
      <c r="Y29" s="27">
        <v>63290</v>
      </c>
      <c r="Z29" s="27">
        <v>62970</v>
      </c>
      <c r="AA29" s="27">
        <v>67230</v>
      </c>
      <c r="AB29" s="27"/>
      <c r="AC29" s="27"/>
      <c r="AD29" s="27">
        <v>63900</v>
      </c>
      <c r="AE29" s="27">
        <v>64130</v>
      </c>
      <c r="AF29" s="27"/>
      <c r="AG29" s="27"/>
      <c r="AH29" s="10"/>
      <c r="AI29" s="49">
        <f t="shared" si="0"/>
        <v>1260630</v>
      </c>
    </row>
    <row r="30" spans="1:35" s="7" customFormat="1" ht="16.5" customHeight="1">
      <c r="A30" s="77" t="s">
        <v>7</v>
      </c>
      <c r="B30" s="78"/>
      <c r="C30" s="28">
        <f t="shared" ref="C30:X30" si="1">SUM(C26,C28)</f>
        <v>23</v>
      </c>
      <c r="D30" s="28">
        <f t="shared" si="1"/>
        <v>23</v>
      </c>
      <c r="E30" s="28">
        <f t="shared" si="1"/>
        <v>23</v>
      </c>
      <c r="F30" s="28">
        <f t="shared" si="1"/>
        <v>23</v>
      </c>
      <c r="G30" s="28">
        <f t="shared" si="1"/>
        <v>23</v>
      </c>
      <c r="H30" s="28">
        <f t="shared" si="1"/>
        <v>23</v>
      </c>
      <c r="I30" s="28">
        <f t="shared" si="1"/>
        <v>23</v>
      </c>
      <c r="J30" s="28">
        <f t="shared" si="1"/>
        <v>23</v>
      </c>
      <c r="K30" s="28">
        <f t="shared" si="1"/>
        <v>23</v>
      </c>
      <c r="L30" s="28">
        <f t="shared" si="1"/>
        <v>23</v>
      </c>
      <c r="M30" s="28">
        <f t="shared" si="1"/>
        <v>23</v>
      </c>
      <c r="N30" s="28">
        <f t="shared" si="1"/>
        <v>23</v>
      </c>
      <c r="O30" s="28">
        <f t="shared" si="1"/>
        <v>23</v>
      </c>
      <c r="P30" s="28">
        <f t="shared" si="1"/>
        <v>23</v>
      </c>
      <c r="Q30" s="28">
        <f t="shared" si="1"/>
        <v>23</v>
      </c>
      <c r="R30" s="28">
        <f t="shared" si="1"/>
        <v>23</v>
      </c>
      <c r="S30" s="28">
        <f t="shared" si="1"/>
        <v>23</v>
      </c>
      <c r="T30" s="28">
        <f t="shared" si="1"/>
        <v>23</v>
      </c>
      <c r="U30" s="28">
        <f t="shared" si="1"/>
        <v>23</v>
      </c>
      <c r="V30" s="28">
        <f t="shared" si="1"/>
        <v>23</v>
      </c>
      <c r="W30" s="28">
        <f t="shared" si="1"/>
        <v>23</v>
      </c>
      <c r="X30" s="39">
        <f t="shared" si="1"/>
        <v>23</v>
      </c>
      <c r="Y30" s="39">
        <f t="shared" ref="Y30:Z30" si="2">SUM(Y26,Y28)</f>
        <v>23</v>
      </c>
      <c r="Z30" s="28">
        <f t="shared" si="2"/>
        <v>23</v>
      </c>
      <c r="AA30" s="28">
        <f t="shared" ref="AA30:AI30" si="3">SUM(AA26,AA28)</f>
        <v>23</v>
      </c>
      <c r="AB30" s="28">
        <f t="shared" si="3"/>
        <v>23</v>
      </c>
      <c r="AC30" s="28">
        <f t="shared" si="3"/>
        <v>23</v>
      </c>
      <c r="AD30" s="28">
        <f t="shared" si="3"/>
        <v>23</v>
      </c>
      <c r="AE30" s="28">
        <f t="shared" si="3"/>
        <v>23</v>
      </c>
      <c r="AF30" s="28">
        <f t="shared" si="3"/>
        <v>23</v>
      </c>
      <c r="AG30" s="28">
        <f t="shared" si="3"/>
        <v>23</v>
      </c>
      <c r="AH30" s="28">
        <f t="shared" si="3"/>
        <v>0</v>
      </c>
      <c r="AI30" s="28">
        <f t="shared" si="3"/>
        <v>713</v>
      </c>
    </row>
    <row r="31" spans="1:35" s="7" customFormat="1" ht="16.5" customHeight="1">
      <c r="A31" s="79" t="s">
        <v>8</v>
      </c>
      <c r="B31" s="80"/>
      <c r="C31" s="29">
        <f t="shared" ref="C31:G31" si="4">SUM(C32:C33)</f>
        <v>5328</v>
      </c>
      <c r="D31" s="29">
        <f t="shared" si="4"/>
        <v>0</v>
      </c>
      <c r="E31" s="29">
        <f t="shared" si="4"/>
        <v>100756</v>
      </c>
      <c r="F31" s="29">
        <f t="shared" si="4"/>
        <v>55966</v>
      </c>
      <c r="G31" s="29">
        <f t="shared" si="4"/>
        <v>68562</v>
      </c>
      <c r="H31" s="29">
        <f t="shared" ref="H31:AI31" si="5">SUM(H32:H33)</f>
        <v>0</v>
      </c>
      <c r="I31" s="29">
        <f t="shared" si="5"/>
        <v>81055</v>
      </c>
      <c r="J31" s="29">
        <f t="shared" si="5"/>
        <v>107021</v>
      </c>
      <c r="K31" s="29">
        <f t="shared" si="5"/>
        <v>112483</v>
      </c>
      <c r="L31" s="29">
        <f t="shared" si="5"/>
        <v>104805</v>
      </c>
      <c r="M31" s="29">
        <f t="shared" si="5"/>
        <v>74508</v>
      </c>
      <c r="N31" s="29">
        <f t="shared" si="5"/>
        <v>111888</v>
      </c>
      <c r="O31" s="29">
        <f t="shared" si="5"/>
        <v>0</v>
      </c>
      <c r="P31" s="29">
        <f t="shared" si="5"/>
        <v>119158</v>
      </c>
      <c r="Q31" s="29">
        <f t="shared" si="5"/>
        <v>125004</v>
      </c>
      <c r="R31" s="29">
        <f t="shared" si="5"/>
        <v>124636</v>
      </c>
      <c r="S31" s="29">
        <f t="shared" si="5"/>
        <v>127204</v>
      </c>
      <c r="T31" s="29">
        <f t="shared" si="5"/>
        <v>110510</v>
      </c>
      <c r="U31" s="29">
        <f t="shared" si="5"/>
        <v>97447</v>
      </c>
      <c r="V31" s="29">
        <f t="shared" si="5"/>
        <v>0</v>
      </c>
      <c r="W31" s="29">
        <f t="shared" si="5"/>
        <v>113413</v>
      </c>
      <c r="X31" s="29">
        <f t="shared" si="5"/>
        <v>114539</v>
      </c>
      <c r="Y31" s="29">
        <f t="shared" ref="Y31:Z31" si="6">SUM(Y32:Y33)</f>
        <v>124379</v>
      </c>
      <c r="Z31" s="29">
        <f t="shared" si="6"/>
        <v>124890</v>
      </c>
      <c r="AA31" s="29">
        <f t="shared" si="5"/>
        <v>130907</v>
      </c>
      <c r="AB31" s="29">
        <f t="shared" si="5"/>
        <v>59202</v>
      </c>
      <c r="AC31" s="29">
        <f t="shared" si="5"/>
        <v>0</v>
      </c>
      <c r="AD31" s="29">
        <f t="shared" si="5"/>
        <v>121610</v>
      </c>
      <c r="AE31" s="29">
        <f t="shared" si="5"/>
        <v>126631</v>
      </c>
      <c r="AF31" s="29">
        <f t="shared" si="5"/>
        <v>61683</v>
      </c>
      <c r="AG31" s="29">
        <f t="shared" si="5"/>
        <v>0</v>
      </c>
      <c r="AH31" s="29">
        <f t="shared" si="5"/>
        <v>0</v>
      </c>
      <c r="AI31" s="29">
        <f t="shared" si="5"/>
        <v>2503585</v>
      </c>
    </row>
    <row r="32" spans="1:35" s="7" customFormat="1" ht="16.5" customHeight="1">
      <c r="A32" s="81" t="s">
        <v>9</v>
      </c>
      <c r="B32" s="80"/>
      <c r="C32" s="29">
        <f t="shared" ref="C32:X32" si="7">SUM(C27,C29)</f>
        <v>5290</v>
      </c>
      <c r="D32" s="29">
        <f t="shared" si="7"/>
        <v>0</v>
      </c>
      <c r="E32" s="29">
        <f t="shared" si="7"/>
        <v>100450</v>
      </c>
      <c r="F32" s="29">
        <f t="shared" si="7"/>
        <v>55790</v>
      </c>
      <c r="G32" s="29">
        <f t="shared" si="7"/>
        <v>68260</v>
      </c>
      <c r="H32" s="29">
        <f t="shared" si="7"/>
        <v>0</v>
      </c>
      <c r="I32" s="29">
        <f t="shared" si="7"/>
        <v>80900</v>
      </c>
      <c r="J32" s="29">
        <f t="shared" si="7"/>
        <v>106790</v>
      </c>
      <c r="K32" s="29">
        <f t="shared" si="7"/>
        <v>112240</v>
      </c>
      <c r="L32" s="29">
        <f t="shared" si="7"/>
        <v>104350</v>
      </c>
      <c r="M32" s="29">
        <f t="shared" si="7"/>
        <v>74400</v>
      </c>
      <c r="N32" s="29">
        <f t="shared" si="7"/>
        <v>111570</v>
      </c>
      <c r="O32" s="29">
        <f t="shared" si="7"/>
        <v>0</v>
      </c>
      <c r="P32" s="29">
        <f t="shared" si="7"/>
        <v>118730</v>
      </c>
      <c r="Q32" s="29">
        <f t="shared" si="7"/>
        <v>124750</v>
      </c>
      <c r="R32" s="29">
        <f t="shared" si="7"/>
        <v>124250</v>
      </c>
      <c r="S32" s="29">
        <f t="shared" si="7"/>
        <v>126840</v>
      </c>
      <c r="T32" s="29">
        <f t="shared" si="7"/>
        <v>110200</v>
      </c>
      <c r="U32" s="29">
        <f t="shared" si="7"/>
        <v>97190</v>
      </c>
      <c r="V32" s="29">
        <f t="shared" si="7"/>
        <v>0</v>
      </c>
      <c r="W32" s="29">
        <f t="shared" si="7"/>
        <v>112940</v>
      </c>
      <c r="X32" s="29">
        <f t="shared" si="7"/>
        <v>114260</v>
      </c>
      <c r="Y32" s="29">
        <f t="shared" ref="Y32:Z32" si="8">SUM(Y27,Y29)</f>
        <v>124210</v>
      </c>
      <c r="Z32" s="29">
        <f t="shared" si="8"/>
        <v>124620</v>
      </c>
      <c r="AA32" s="29">
        <f t="shared" ref="AA32:AI32" si="9">SUM(AA27,AA29)</f>
        <v>130640</v>
      </c>
      <c r="AB32" s="29">
        <f t="shared" si="9"/>
        <v>59090</v>
      </c>
      <c r="AC32" s="29">
        <f t="shared" si="9"/>
        <v>0</v>
      </c>
      <c r="AD32" s="29">
        <f t="shared" si="9"/>
        <v>121430</v>
      </c>
      <c r="AE32" s="29">
        <f t="shared" si="9"/>
        <v>126400</v>
      </c>
      <c r="AF32" s="29">
        <f t="shared" si="9"/>
        <v>61560</v>
      </c>
      <c r="AG32" s="29">
        <f t="shared" si="9"/>
        <v>0</v>
      </c>
      <c r="AH32" s="29">
        <f t="shared" si="9"/>
        <v>0</v>
      </c>
      <c r="AI32" s="29">
        <f t="shared" si="9"/>
        <v>2497150</v>
      </c>
    </row>
    <row r="33" spans="1:36" s="7" customFormat="1" ht="16.5" customHeight="1">
      <c r="A33" s="79" t="s">
        <v>10</v>
      </c>
      <c r="B33" s="80"/>
      <c r="C33" s="29">
        <f>C49+C59+C70+C84</f>
        <v>38</v>
      </c>
      <c r="D33" s="29">
        <f t="shared" ref="D33:AG33" si="10">D49+D59+D70+D84</f>
        <v>0</v>
      </c>
      <c r="E33" s="29">
        <f t="shared" si="10"/>
        <v>306</v>
      </c>
      <c r="F33" s="29">
        <f t="shared" si="10"/>
        <v>176</v>
      </c>
      <c r="G33" s="29">
        <f t="shared" si="10"/>
        <v>302</v>
      </c>
      <c r="H33" s="29">
        <f t="shared" si="10"/>
        <v>0</v>
      </c>
      <c r="I33" s="29">
        <f t="shared" si="10"/>
        <v>155</v>
      </c>
      <c r="J33" s="29">
        <f t="shared" si="10"/>
        <v>231</v>
      </c>
      <c r="K33" s="29">
        <f t="shared" si="10"/>
        <v>243</v>
      </c>
      <c r="L33" s="29">
        <f t="shared" si="10"/>
        <v>455</v>
      </c>
      <c r="M33" s="29">
        <f t="shared" si="10"/>
        <v>108</v>
      </c>
      <c r="N33" s="29">
        <f t="shared" si="10"/>
        <v>318</v>
      </c>
      <c r="O33" s="29">
        <f t="shared" si="10"/>
        <v>0</v>
      </c>
      <c r="P33" s="29">
        <f t="shared" si="10"/>
        <v>428</v>
      </c>
      <c r="Q33" s="29">
        <f t="shared" si="10"/>
        <v>254</v>
      </c>
      <c r="R33" s="29">
        <f t="shared" si="10"/>
        <v>386</v>
      </c>
      <c r="S33" s="29">
        <f t="shared" si="10"/>
        <v>364</v>
      </c>
      <c r="T33" s="29">
        <f t="shared" si="10"/>
        <v>310</v>
      </c>
      <c r="U33" s="29">
        <f t="shared" si="10"/>
        <v>257</v>
      </c>
      <c r="V33" s="29">
        <f t="shared" si="10"/>
        <v>0</v>
      </c>
      <c r="W33" s="29">
        <f t="shared" si="10"/>
        <v>473</v>
      </c>
      <c r="X33" s="29">
        <f t="shared" si="10"/>
        <v>279</v>
      </c>
      <c r="Y33" s="29">
        <f t="shared" si="10"/>
        <v>169</v>
      </c>
      <c r="Z33" s="29">
        <f t="shared" si="10"/>
        <v>270</v>
      </c>
      <c r="AA33" s="29">
        <f t="shared" si="10"/>
        <v>267</v>
      </c>
      <c r="AB33" s="29">
        <f t="shared" si="10"/>
        <v>112</v>
      </c>
      <c r="AC33" s="29">
        <f t="shared" si="10"/>
        <v>0</v>
      </c>
      <c r="AD33" s="29">
        <f t="shared" si="10"/>
        <v>180</v>
      </c>
      <c r="AE33" s="29">
        <f t="shared" si="10"/>
        <v>231</v>
      </c>
      <c r="AF33" s="29">
        <f t="shared" si="10"/>
        <v>123</v>
      </c>
      <c r="AG33" s="29">
        <f t="shared" si="10"/>
        <v>0</v>
      </c>
      <c r="AH33" s="29">
        <f>AH59+AH84</f>
        <v>0</v>
      </c>
      <c r="AI33" s="29">
        <f>SUM(C33:AG33)</f>
        <v>6435</v>
      </c>
    </row>
    <row r="34" spans="1:36" s="7" customFormat="1" ht="16.5" customHeight="1">
      <c r="A34" s="79" t="s">
        <v>11</v>
      </c>
      <c r="B34" s="80"/>
      <c r="C34" s="30">
        <f t="shared" ref="C34:AI34" si="11">C33/C31</f>
        <v>7.1321321321321301E-3</v>
      </c>
      <c r="D34" s="30" t="e">
        <f t="shared" si="11"/>
        <v>#DIV/0!</v>
      </c>
      <c r="E34" s="30">
        <f t="shared" si="11"/>
        <v>3.0370399777680701E-3</v>
      </c>
      <c r="F34" s="30">
        <f t="shared" si="11"/>
        <v>3.14476646535396E-3</v>
      </c>
      <c r="G34" s="30">
        <f t="shared" si="11"/>
        <v>4.4047723228610603E-3</v>
      </c>
      <c r="H34" s="30" t="e">
        <f t="shared" si="11"/>
        <v>#DIV/0!</v>
      </c>
      <c r="I34" s="30">
        <f t="shared" si="11"/>
        <v>1.9122817839738401E-3</v>
      </c>
      <c r="J34" s="30">
        <f t="shared" si="11"/>
        <v>2.1584548826865798E-3</v>
      </c>
      <c r="K34" s="30">
        <f t="shared" si="11"/>
        <v>2.1603264493301202E-3</v>
      </c>
      <c r="L34" s="30">
        <f t="shared" si="11"/>
        <v>4.3413959257669003E-3</v>
      </c>
      <c r="M34" s="30">
        <f t="shared" si="11"/>
        <v>1.4495087775809299E-3</v>
      </c>
      <c r="N34" s="30">
        <f t="shared" si="11"/>
        <v>2.84212784212784E-3</v>
      </c>
      <c r="O34" s="30" t="e">
        <f t="shared" si="11"/>
        <v>#DIV/0!</v>
      </c>
      <c r="P34" s="30">
        <f t="shared" si="11"/>
        <v>3.59186961848974E-3</v>
      </c>
      <c r="Q34" s="30">
        <f t="shared" si="11"/>
        <v>2.0319349780807002E-3</v>
      </c>
      <c r="R34" s="30">
        <f t="shared" si="11"/>
        <v>3.0970185179242E-3</v>
      </c>
      <c r="S34" s="30">
        <f t="shared" si="11"/>
        <v>2.8615452344265902E-3</v>
      </c>
      <c r="T34" s="30">
        <f t="shared" si="11"/>
        <v>2.8051760021717501E-3</v>
      </c>
      <c r="U34" s="30">
        <f t="shared" si="11"/>
        <v>2.6373310620131998E-3</v>
      </c>
      <c r="V34" s="30" t="e">
        <f t="shared" si="11"/>
        <v>#DIV/0!</v>
      </c>
      <c r="W34" s="30">
        <f t="shared" si="11"/>
        <v>4.1705977268919796E-3</v>
      </c>
      <c r="X34" s="30">
        <f t="shared" si="11"/>
        <v>2.4358515440155801E-3</v>
      </c>
      <c r="Y34" s="30">
        <f t="shared" si="11"/>
        <v>1.3587502713480601E-3</v>
      </c>
      <c r="Z34" s="30">
        <f t="shared" si="11"/>
        <v>2.1619024741772802E-3</v>
      </c>
      <c r="AA34" s="30">
        <f t="shared" si="11"/>
        <v>2.0396159105319001E-3</v>
      </c>
      <c r="AB34" s="30">
        <f t="shared" si="11"/>
        <v>1.8918279787845001E-3</v>
      </c>
      <c r="AC34" s="30" t="e">
        <f t="shared" si="11"/>
        <v>#DIV/0!</v>
      </c>
      <c r="AD34" s="30">
        <f t="shared" si="11"/>
        <v>1.48014143573719E-3</v>
      </c>
      <c r="AE34" s="30">
        <f t="shared" si="11"/>
        <v>1.8241978662412799E-3</v>
      </c>
      <c r="AF34" s="30">
        <f t="shared" si="11"/>
        <v>1.9940664364573699E-3</v>
      </c>
      <c r="AG34" s="30" t="e">
        <f t="shared" si="11"/>
        <v>#DIV/0!</v>
      </c>
      <c r="AH34" s="30" t="e">
        <f t="shared" si="11"/>
        <v>#DIV/0!</v>
      </c>
      <c r="AI34" s="30">
        <f t="shared" si="11"/>
        <v>2.5703141694809598E-3</v>
      </c>
    </row>
    <row r="35" spans="1:36" s="7" customFormat="1" ht="16.5" customHeight="1">
      <c r="A35" s="77" t="s">
        <v>12</v>
      </c>
      <c r="B35" s="78"/>
      <c r="C35" s="30">
        <f>C49/C31</f>
        <v>2.2522522522522501E-3</v>
      </c>
      <c r="D35" s="30" t="e">
        <f t="shared" ref="D35:AG35" si="12">D49/D31</f>
        <v>#DIV/0!</v>
      </c>
      <c r="E35" s="30">
        <f t="shared" si="12"/>
        <v>1.33987057842709E-3</v>
      </c>
      <c r="F35" s="30">
        <f t="shared" si="12"/>
        <v>1.03634349426437E-3</v>
      </c>
      <c r="G35" s="30">
        <f t="shared" si="12"/>
        <v>1.4877045593769101E-3</v>
      </c>
      <c r="H35" s="30" t="e">
        <f t="shared" si="12"/>
        <v>#DIV/0!</v>
      </c>
      <c r="I35" s="30">
        <f t="shared" si="12"/>
        <v>7.03226204429091E-4</v>
      </c>
      <c r="J35" s="30">
        <f t="shared" si="12"/>
        <v>8.6898832939329704E-4</v>
      </c>
      <c r="K35" s="30">
        <f t="shared" si="12"/>
        <v>8.8013299787523497E-4</v>
      </c>
      <c r="L35" s="30">
        <f t="shared" si="12"/>
        <v>6.0111635895234003E-4</v>
      </c>
      <c r="M35" s="30">
        <f t="shared" si="12"/>
        <v>7.1133301122027197E-4</v>
      </c>
      <c r="N35" s="30">
        <f t="shared" si="12"/>
        <v>7.8650078650078603E-4</v>
      </c>
      <c r="O35" s="30" t="e">
        <f t="shared" si="12"/>
        <v>#DIV/0!</v>
      </c>
      <c r="P35" s="30">
        <f t="shared" si="12"/>
        <v>5.2031756155692397E-4</v>
      </c>
      <c r="Q35" s="30">
        <f t="shared" si="12"/>
        <v>3.7598796838501198E-4</v>
      </c>
      <c r="R35" s="30">
        <f t="shared" si="12"/>
        <v>5.5361211848903996E-4</v>
      </c>
      <c r="S35" s="30">
        <f t="shared" si="12"/>
        <v>5.8960410049998396E-4</v>
      </c>
      <c r="T35" s="30">
        <f t="shared" si="12"/>
        <v>1.14921726540585E-3</v>
      </c>
      <c r="U35" s="30">
        <f t="shared" si="12"/>
        <v>1.4058924338358301E-3</v>
      </c>
      <c r="V35" s="30" t="e">
        <f t="shared" si="12"/>
        <v>#DIV/0!</v>
      </c>
      <c r="W35" s="30">
        <f t="shared" si="12"/>
        <v>1.04926243023287E-3</v>
      </c>
      <c r="X35" s="30">
        <f t="shared" si="12"/>
        <v>6.8972140493630998E-4</v>
      </c>
      <c r="Y35" s="30">
        <f t="shared" si="12"/>
        <v>5.62795970380852E-4</v>
      </c>
      <c r="Z35" s="30">
        <f t="shared" si="12"/>
        <v>7.4465529666106203E-4</v>
      </c>
      <c r="AA35" s="30">
        <f t="shared" si="12"/>
        <v>5.8056482846600998E-4</v>
      </c>
      <c r="AB35" s="30">
        <f t="shared" si="12"/>
        <v>9.4591398939225003E-4</v>
      </c>
      <c r="AC35" s="30" t="e">
        <f t="shared" si="12"/>
        <v>#DIV/0!</v>
      </c>
      <c r="AD35" s="30">
        <f t="shared" si="12"/>
        <v>7.5651673382123202E-4</v>
      </c>
      <c r="AE35" s="30">
        <f t="shared" si="12"/>
        <v>5.5278723219432801E-4</v>
      </c>
      <c r="AF35" s="30">
        <f t="shared" si="12"/>
        <v>7.9438419013342395E-4</v>
      </c>
      <c r="AG35" s="30" t="e">
        <f t="shared" si="12"/>
        <v>#DIV/0!</v>
      </c>
      <c r="AH35" s="30"/>
      <c r="AI35" s="30">
        <f>AI49/AI31</f>
        <v>7.9126532552319996E-4</v>
      </c>
    </row>
    <row r="36" spans="1:36" s="7" customFormat="1" ht="16.5" customHeight="1">
      <c r="A36" s="77" t="s">
        <v>13</v>
      </c>
      <c r="B36" s="78"/>
      <c r="C36" s="30">
        <f>C59/C31</f>
        <v>1.8768768768768799E-3</v>
      </c>
      <c r="D36" s="30" t="e">
        <f t="shared" ref="D36:AG36" si="13">D59/D31</f>
        <v>#DIV/0!</v>
      </c>
      <c r="E36" s="30">
        <f t="shared" si="13"/>
        <v>5.3594823137083705E-4</v>
      </c>
      <c r="F36" s="30">
        <f t="shared" si="13"/>
        <v>7.1471965121681002E-4</v>
      </c>
      <c r="G36" s="30">
        <f t="shared" si="13"/>
        <v>1.21058312184592E-3</v>
      </c>
      <c r="H36" s="30" t="e">
        <f t="shared" si="13"/>
        <v>#DIV/0!</v>
      </c>
      <c r="I36" s="30">
        <f t="shared" si="13"/>
        <v>6.7855160076491297E-4</v>
      </c>
      <c r="J36" s="30">
        <f t="shared" si="13"/>
        <v>7.848926846133E-4</v>
      </c>
      <c r="K36" s="30">
        <f t="shared" si="13"/>
        <v>6.6676742263275298E-4</v>
      </c>
      <c r="L36" s="30">
        <f t="shared" si="13"/>
        <v>9.5415295071799998E-4</v>
      </c>
      <c r="M36" s="30">
        <f t="shared" si="13"/>
        <v>3.75798571965427E-4</v>
      </c>
      <c r="N36" s="30">
        <f t="shared" si="13"/>
        <v>8.4906334906334903E-4</v>
      </c>
      <c r="O36" s="30" t="e">
        <f t="shared" si="13"/>
        <v>#DIV/0!</v>
      </c>
      <c r="P36" s="30">
        <f t="shared" si="13"/>
        <v>6.4620084257876098E-4</v>
      </c>
      <c r="Q36" s="30">
        <f t="shared" si="13"/>
        <v>8.3197337685194099E-4</v>
      </c>
      <c r="R36" s="30">
        <f t="shared" si="13"/>
        <v>8.82570043968035E-4</v>
      </c>
      <c r="S36" s="30">
        <f t="shared" si="13"/>
        <v>4.0093078833998902E-4</v>
      </c>
      <c r="T36" s="30">
        <f t="shared" si="13"/>
        <v>5.4293729074291895E-4</v>
      </c>
      <c r="U36" s="30">
        <f t="shared" si="13"/>
        <v>8.0043510831528898E-4</v>
      </c>
      <c r="V36" s="30" t="e">
        <f t="shared" si="13"/>
        <v>#DIV/0!</v>
      </c>
      <c r="W36" s="30">
        <f t="shared" si="13"/>
        <v>8.0237715253101501E-4</v>
      </c>
      <c r="X36" s="30">
        <f t="shared" si="13"/>
        <v>3.2303407572966401E-4</v>
      </c>
      <c r="Y36" s="30">
        <f t="shared" si="13"/>
        <v>4.0199712170060898E-4</v>
      </c>
      <c r="Z36" s="30">
        <f t="shared" si="13"/>
        <v>6.1654255745055705E-4</v>
      </c>
      <c r="AA36" s="30">
        <f t="shared" si="13"/>
        <v>3.0556043603474203E-4</v>
      </c>
      <c r="AB36" s="30">
        <f t="shared" si="13"/>
        <v>2.36478497348063E-4</v>
      </c>
      <c r="AC36" s="30" t="e">
        <f t="shared" si="13"/>
        <v>#DIV/0!</v>
      </c>
      <c r="AD36" s="30">
        <f t="shared" si="13"/>
        <v>6.0027958227119502E-4</v>
      </c>
      <c r="AE36" s="30">
        <f t="shared" si="13"/>
        <v>3.5536322069635402E-4</v>
      </c>
      <c r="AF36" s="30">
        <f t="shared" si="13"/>
        <v>5.6741727866673104E-4</v>
      </c>
      <c r="AG36" s="30" t="e">
        <f t="shared" si="13"/>
        <v>#DIV/0!</v>
      </c>
      <c r="AH36" s="30"/>
      <c r="AI36" s="30">
        <f>AI59/AI31</f>
        <v>6.2550302865690597E-4</v>
      </c>
    </row>
    <row r="37" spans="1:36" s="7" customFormat="1" ht="16.5" customHeight="1">
      <c r="A37" s="77" t="s">
        <v>14</v>
      </c>
      <c r="B37" s="78"/>
      <c r="C37" s="30">
        <f>C70/C31</f>
        <v>2.0645645645645601E-3</v>
      </c>
      <c r="D37" s="30" t="e">
        <f t="shared" ref="D37:AG37" si="14">D70/D31</f>
        <v>#DIV/0!</v>
      </c>
      <c r="E37" s="30">
        <f t="shared" si="14"/>
        <v>9.5279685577037601E-4</v>
      </c>
      <c r="F37" s="30">
        <f t="shared" si="14"/>
        <v>1.1435514419468999E-3</v>
      </c>
      <c r="G37" s="30">
        <f t="shared" si="14"/>
        <v>1.38560718765497E-3</v>
      </c>
      <c r="H37" s="30" t="e">
        <f t="shared" si="14"/>
        <v>#DIV/0!</v>
      </c>
      <c r="I37" s="30">
        <f t="shared" si="14"/>
        <v>3.3310714946641198E-4</v>
      </c>
      <c r="J37" s="30">
        <f t="shared" si="14"/>
        <v>2.7097485540221098E-4</v>
      </c>
      <c r="K37" s="30">
        <f t="shared" si="14"/>
        <v>3.5560929207080201E-4</v>
      </c>
      <c r="L37" s="30">
        <f t="shared" si="14"/>
        <v>1.1259004818472401E-3</v>
      </c>
      <c r="M37" s="30">
        <f t="shared" si="14"/>
        <v>0</v>
      </c>
      <c r="N37" s="30">
        <f t="shared" si="14"/>
        <v>7.1500071500071503E-4</v>
      </c>
      <c r="O37" s="30" t="e">
        <f t="shared" si="14"/>
        <v>#DIV/0!</v>
      </c>
      <c r="P37" s="30">
        <f t="shared" si="14"/>
        <v>1.9721714026754399E-3</v>
      </c>
      <c r="Q37" s="30">
        <f t="shared" si="14"/>
        <v>5.5198233656523002E-4</v>
      </c>
      <c r="R37" s="30">
        <f t="shared" si="14"/>
        <v>1.21152796944703E-3</v>
      </c>
      <c r="S37" s="30">
        <f t="shared" si="14"/>
        <v>1.3678815131599601E-3</v>
      </c>
      <c r="T37" s="30">
        <f t="shared" si="14"/>
        <v>7.9630802642294805E-4</v>
      </c>
      <c r="U37" s="30">
        <f t="shared" si="14"/>
        <v>1.43667839954026E-4</v>
      </c>
      <c r="V37" s="30" t="e">
        <f t="shared" si="14"/>
        <v>#DIV/0!</v>
      </c>
      <c r="W37" s="30">
        <f t="shared" si="14"/>
        <v>2.0544382037332599E-3</v>
      </c>
      <c r="X37" s="30">
        <f t="shared" si="14"/>
        <v>1.92074315298719E-4</v>
      </c>
      <c r="Y37" s="30">
        <f t="shared" si="14"/>
        <v>2.0903850328431601E-4</v>
      </c>
      <c r="Z37" s="30">
        <f t="shared" si="14"/>
        <v>5.36472095443991E-4</v>
      </c>
      <c r="AA37" s="30">
        <f t="shared" si="14"/>
        <v>8.7084724269901497E-4</v>
      </c>
      <c r="AB37" s="30">
        <f t="shared" si="14"/>
        <v>6.4187020708759805E-4</v>
      </c>
      <c r="AC37" s="30" t="e">
        <f t="shared" si="14"/>
        <v>#DIV/0!</v>
      </c>
      <c r="AD37" s="30">
        <f t="shared" si="14"/>
        <v>4.93380478579064E-5</v>
      </c>
      <c r="AE37" s="30">
        <f t="shared" si="14"/>
        <v>8.1338692737165498E-4</v>
      </c>
      <c r="AF37" s="30">
        <f t="shared" si="14"/>
        <v>1.45907300228588E-4</v>
      </c>
      <c r="AG37" s="30" t="e">
        <f t="shared" si="14"/>
        <v>#DIV/0!</v>
      </c>
      <c r="AH37" s="30" t="e">
        <f>AH59/AH31</f>
        <v>#DIV/0!</v>
      </c>
      <c r="AI37" s="30">
        <f>AI70/AI31</f>
        <v>7.6250656558495098E-4</v>
      </c>
    </row>
    <row r="38" spans="1:36" s="7" customFormat="1" ht="16.5" customHeight="1">
      <c r="A38" s="77" t="s">
        <v>15</v>
      </c>
      <c r="B38" s="78"/>
      <c r="C38" s="30">
        <f>C84/C31</f>
        <v>9.38438438438438E-4</v>
      </c>
      <c r="D38" s="30" t="e">
        <f t="shared" ref="D38:AI38" si="15">D84/D31</f>
        <v>#DIV/0!</v>
      </c>
      <c r="E38" s="30">
        <f t="shared" si="15"/>
        <v>2.0842431219976999E-4</v>
      </c>
      <c r="F38" s="30">
        <f t="shared" si="15"/>
        <v>2.5015187792588401E-4</v>
      </c>
      <c r="G38" s="30">
        <f t="shared" si="15"/>
        <v>3.20877453983256E-4</v>
      </c>
      <c r="H38" s="30" t="e">
        <f t="shared" si="15"/>
        <v>#DIV/0!</v>
      </c>
      <c r="I38" s="30">
        <f t="shared" si="15"/>
        <v>1.9739682931342901E-4</v>
      </c>
      <c r="J38" s="30">
        <f t="shared" si="15"/>
        <v>2.3359901327776799E-4</v>
      </c>
      <c r="K38" s="30">
        <f t="shared" si="15"/>
        <v>2.5781673675133102E-4</v>
      </c>
      <c r="L38" s="30">
        <f t="shared" si="15"/>
        <v>1.6602261342493201E-3</v>
      </c>
      <c r="M38" s="30">
        <f t="shared" si="15"/>
        <v>3.6237719439523297E-4</v>
      </c>
      <c r="N38" s="30">
        <f t="shared" si="15"/>
        <v>4.9156299156299195E-4</v>
      </c>
      <c r="O38" s="30" t="e">
        <f t="shared" si="15"/>
        <v>#DIV/0!</v>
      </c>
      <c r="P38" s="30">
        <f t="shared" si="15"/>
        <v>4.5317981167861202E-4</v>
      </c>
      <c r="Q38" s="30">
        <f t="shared" si="15"/>
        <v>2.7199129627851899E-4</v>
      </c>
      <c r="R38" s="30">
        <f t="shared" si="15"/>
        <v>4.4930838602009099E-4</v>
      </c>
      <c r="S38" s="30">
        <f t="shared" si="15"/>
        <v>5.0312883242665304E-4</v>
      </c>
      <c r="T38" s="30">
        <f t="shared" si="15"/>
        <v>3.1671341960003602E-4</v>
      </c>
      <c r="U38" s="30">
        <f t="shared" si="15"/>
        <v>2.8733567990805298E-4</v>
      </c>
      <c r="V38" s="30" t="e">
        <f t="shared" si="15"/>
        <v>#DIV/0!</v>
      </c>
      <c r="W38" s="30">
        <f t="shared" si="15"/>
        <v>2.6451994039484002E-4</v>
      </c>
      <c r="X38" s="30">
        <f t="shared" si="15"/>
        <v>1.23102174805088E-3</v>
      </c>
      <c r="Y38" s="30">
        <f t="shared" si="15"/>
        <v>1.8491867598228001E-4</v>
      </c>
      <c r="Z38" s="30">
        <f t="shared" si="15"/>
        <v>2.64232524621667E-4</v>
      </c>
      <c r="AA38" s="30">
        <f t="shared" si="15"/>
        <v>2.8264340333213701E-4</v>
      </c>
      <c r="AB38" s="30">
        <f t="shared" si="15"/>
        <v>6.7565284956589298E-5</v>
      </c>
      <c r="AC38" s="30" t="e">
        <f t="shared" si="15"/>
        <v>#DIV/0!</v>
      </c>
      <c r="AD38" s="30">
        <f t="shared" si="15"/>
        <v>7.4007071786859604E-5</v>
      </c>
      <c r="AE38" s="30">
        <f t="shared" si="15"/>
        <v>1.02660485978947E-4</v>
      </c>
      <c r="AF38" s="30">
        <f t="shared" si="15"/>
        <v>4.8635766742862699E-4</v>
      </c>
      <c r="AG38" s="30" t="e">
        <f t="shared" si="15"/>
        <v>#DIV/0!</v>
      </c>
      <c r="AH38" s="30" t="e">
        <f t="shared" si="15"/>
        <v>#DIV/0!</v>
      </c>
      <c r="AI38" s="30">
        <f t="shared" si="15"/>
        <v>3.91039249715907E-4</v>
      </c>
    </row>
    <row r="39" spans="1:36" s="7" customFormat="1" ht="16.5" customHeight="1">
      <c r="A39" s="79" t="s">
        <v>16</v>
      </c>
      <c r="B39" s="80"/>
      <c r="C39" s="30">
        <f>C31/(C30*60/$B7)</f>
        <v>0.42469565217391297</v>
      </c>
      <c r="D39" s="30">
        <f t="shared" ref="D39:AI39" si="16">D31/(D30*60/$B7)</f>
        <v>0</v>
      </c>
      <c r="E39" s="30">
        <f t="shared" si="16"/>
        <v>8.0312753623188406</v>
      </c>
      <c r="F39" s="30">
        <f t="shared" si="16"/>
        <v>4.4610579710144904</v>
      </c>
      <c r="G39" s="30">
        <f t="shared" si="16"/>
        <v>5.4650869565217404</v>
      </c>
      <c r="H39" s="30">
        <f t="shared" si="16"/>
        <v>0</v>
      </c>
      <c r="I39" s="30">
        <f t="shared" si="16"/>
        <v>6.4609057971014501</v>
      </c>
      <c r="J39" s="30">
        <f t="shared" si="16"/>
        <v>8.5306594202898491</v>
      </c>
      <c r="K39" s="30">
        <f t="shared" si="16"/>
        <v>8.9660362318840594</v>
      </c>
      <c r="L39" s="30">
        <f t="shared" si="16"/>
        <v>8.3540217391304292</v>
      </c>
      <c r="M39" s="30">
        <f t="shared" si="16"/>
        <v>5.9390434782608699</v>
      </c>
      <c r="N39" s="30">
        <f t="shared" si="16"/>
        <v>8.9186086956521695</v>
      </c>
      <c r="O39" s="30">
        <f t="shared" si="16"/>
        <v>0</v>
      </c>
      <c r="P39" s="30">
        <f t="shared" si="16"/>
        <v>9.4981014492753602</v>
      </c>
      <c r="Q39" s="30">
        <f t="shared" si="16"/>
        <v>9.96408695652174</v>
      </c>
      <c r="R39" s="30">
        <f t="shared" si="16"/>
        <v>9.9347536231883993</v>
      </c>
      <c r="S39" s="30">
        <f t="shared" si="16"/>
        <v>10.139449275362299</v>
      </c>
      <c r="T39" s="30">
        <f t="shared" si="16"/>
        <v>8.8087681159420299</v>
      </c>
      <c r="U39" s="30">
        <f t="shared" si="16"/>
        <v>7.7675144927536204</v>
      </c>
      <c r="V39" s="30">
        <f t="shared" si="16"/>
        <v>0</v>
      </c>
      <c r="W39" s="30">
        <f t="shared" si="16"/>
        <v>9.0401666666666696</v>
      </c>
      <c r="X39" s="30">
        <f t="shared" si="16"/>
        <v>9.12992028985507</v>
      </c>
      <c r="Y39" s="30">
        <f t="shared" si="16"/>
        <v>9.9142681159420292</v>
      </c>
      <c r="Z39" s="30">
        <f t="shared" si="16"/>
        <v>9.9550000000000001</v>
      </c>
      <c r="AA39" s="30">
        <f t="shared" si="16"/>
        <v>10.434615942029</v>
      </c>
      <c r="AB39" s="30">
        <f t="shared" si="16"/>
        <v>4.7190000000000003</v>
      </c>
      <c r="AC39" s="30">
        <f t="shared" si="16"/>
        <v>0</v>
      </c>
      <c r="AD39" s="30">
        <f t="shared" si="16"/>
        <v>9.6935507246376797</v>
      </c>
      <c r="AE39" s="30">
        <f t="shared" si="16"/>
        <v>10.0937753623188</v>
      </c>
      <c r="AF39" s="30">
        <f t="shared" si="16"/>
        <v>4.9167608695652198</v>
      </c>
      <c r="AG39" s="30">
        <f t="shared" si="16"/>
        <v>0</v>
      </c>
      <c r="AH39" s="30" t="e">
        <f t="shared" si="16"/>
        <v>#DIV/0!</v>
      </c>
      <c r="AI39" s="30">
        <f t="shared" si="16"/>
        <v>6.4374555867227699</v>
      </c>
    </row>
    <row r="40" spans="1:36" s="8" customFormat="1" ht="12.75" customHeight="1">
      <c r="A40" s="85" t="s">
        <v>17</v>
      </c>
      <c r="B40" s="31" t="s">
        <v>18</v>
      </c>
      <c r="C40" s="32">
        <v>2</v>
      </c>
      <c r="D40" s="32"/>
      <c r="E40" s="32">
        <v>2</v>
      </c>
      <c r="F40" s="32"/>
      <c r="G40" s="32">
        <v>1</v>
      </c>
      <c r="H40" s="32"/>
      <c r="I40" s="32"/>
      <c r="J40" s="32">
        <v>13</v>
      </c>
      <c r="K40" s="32">
        <v>3</v>
      </c>
      <c r="L40" s="32">
        <v>3</v>
      </c>
      <c r="M40" s="32">
        <v>5</v>
      </c>
      <c r="N40" s="32">
        <v>4</v>
      </c>
      <c r="O40" s="32"/>
      <c r="P40" s="32"/>
      <c r="Q40" s="32"/>
      <c r="R40" s="32">
        <v>2</v>
      </c>
      <c r="S40" s="32">
        <v>1</v>
      </c>
      <c r="T40" s="32">
        <v>12</v>
      </c>
      <c r="U40" s="32">
        <v>3</v>
      </c>
      <c r="V40" s="32"/>
      <c r="W40" s="32">
        <v>1</v>
      </c>
      <c r="X40" s="32"/>
      <c r="Y40" s="32">
        <v>2</v>
      </c>
      <c r="Z40" s="32"/>
      <c r="AA40" s="32">
        <v>1</v>
      </c>
      <c r="AB40" s="32"/>
      <c r="AC40" s="32"/>
      <c r="AD40" s="32">
        <v>1</v>
      </c>
      <c r="AE40" s="32">
        <v>1</v>
      </c>
      <c r="AF40" s="32">
        <v>4</v>
      </c>
      <c r="AG40" s="32"/>
      <c r="AH40" s="50"/>
      <c r="AI40" s="51">
        <f t="shared" ref="AI40:AI47" si="17">SUM(C40:AG40)</f>
        <v>61</v>
      </c>
      <c r="AJ40" s="52">
        <f>SUM(AI40/AI33)</f>
        <v>9.4794094794094803E-3</v>
      </c>
    </row>
    <row r="41" spans="1:36" s="8" customFormat="1" ht="12.75" customHeight="1">
      <c r="A41" s="86"/>
      <c r="B41" s="31" t="s">
        <v>19</v>
      </c>
      <c r="C41" s="32">
        <v>1</v>
      </c>
      <c r="D41" s="32"/>
      <c r="E41" s="32">
        <v>28</v>
      </c>
      <c r="F41" s="32">
        <v>6</v>
      </c>
      <c r="G41" s="32">
        <v>8</v>
      </c>
      <c r="H41" s="32"/>
      <c r="I41" s="32">
        <v>2</v>
      </c>
      <c r="J41" s="32">
        <v>4</v>
      </c>
      <c r="K41" s="32">
        <v>12</v>
      </c>
      <c r="L41" s="32">
        <v>2</v>
      </c>
      <c r="M41" s="32">
        <v>2</v>
      </c>
      <c r="N41" s="32">
        <v>2</v>
      </c>
      <c r="O41" s="32"/>
      <c r="P41" s="32">
        <v>3</v>
      </c>
      <c r="Q41" s="32">
        <v>1</v>
      </c>
      <c r="R41" s="32">
        <v>4</v>
      </c>
      <c r="S41" s="32">
        <v>17</v>
      </c>
      <c r="T41" s="32">
        <v>5</v>
      </c>
      <c r="U41" s="32">
        <v>14</v>
      </c>
      <c r="V41" s="32"/>
      <c r="W41" s="32">
        <v>16</v>
      </c>
      <c r="X41" s="32">
        <v>9</v>
      </c>
      <c r="Y41" s="32">
        <v>5</v>
      </c>
      <c r="Z41" s="32">
        <v>2</v>
      </c>
      <c r="AA41" s="32">
        <v>3</v>
      </c>
      <c r="AB41" s="32">
        <v>3</v>
      </c>
      <c r="AC41" s="32"/>
      <c r="AD41" s="32">
        <v>6</v>
      </c>
      <c r="AE41" s="32">
        <v>3</v>
      </c>
      <c r="AF41" s="32"/>
      <c r="AG41" s="32"/>
      <c r="AH41" s="50"/>
      <c r="AI41" s="51">
        <f t="shared" si="17"/>
        <v>158</v>
      </c>
      <c r="AJ41" s="52">
        <f>SUM(AI41/AI33)</f>
        <v>2.45532245532246E-2</v>
      </c>
    </row>
    <row r="42" spans="1:36" s="8" customFormat="1" ht="12.75" customHeight="1">
      <c r="A42" s="86"/>
      <c r="B42" s="31" t="s">
        <v>20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50"/>
      <c r="AI42" s="51">
        <f t="shared" si="17"/>
        <v>0</v>
      </c>
      <c r="AJ42" s="52">
        <f>SUM(AI42/AI33)</f>
        <v>0</v>
      </c>
    </row>
    <row r="43" spans="1:36" s="8" customFormat="1" ht="12.75" customHeight="1">
      <c r="A43" s="86"/>
      <c r="B43" s="31" t="s">
        <v>21</v>
      </c>
      <c r="C43" s="32"/>
      <c r="D43" s="32"/>
      <c r="E43" s="32">
        <v>24</v>
      </c>
      <c r="F43" s="32">
        <v>8</v>
      </c>
      <c r="G43" s="32"/>
      <c r="H43" s="32"/>
      <c r="I43" s="32"/>
      <c r="J43" s="32">
        <v>12</v>
      </c>
      <c r="K43" s="32"/>
      <c r="L43" s="32"/>
      <c r="M43" s="32"/>
      <c r="N43" s="32"/>
      <c r="O43" s="32"/>
      <c r="P43" s="32"/>
      <c r="Q43" s="32"/>
      <c r="R43" s="32"/>
      <c r="S43" s="32"/>
      <c r="T43" s="32">
        <v>15</v>
      </c>
      <c r="U43" s="32">
        <v>13</v>
      </c>
      <c r="V43" s="32"/>
      <c r="W43" s="32">
        <v>20</v>
      </c>
      <c r="X43" s="32"/>
      <c r="Y43" s="32">
        <v>4</v>
      </c>
      <c r="Z43" s="32"/>
      <c r="AA43" s="32"/>
      <c r="AB43" s="32"/>
      <c r="AC43" s="32"/>
      <c r="AD43" s="32">
        <v>6</v>
      </c>
      <c r="AE43" s="32"/>
      <c r="AF43" s="32">
        <v>8</v>
      </c>
      <c r="AG43" s="32"/>
      <c r="AH43" s="50"/>
      <c r="AI43" s="51">
        <f t="shared" si="17"/>
        <v>110</v>
      </c>
      <c r="AJ43" s="52">
        <f>SUM(AI43/AI33)</f>
        <v>1.7094017094017099E-2</v>
      </c>
    </row>
    <row r="44" spans="1:36" s="8" customFormat="1" ht="12.75" customHeight="1">
      <c r="A44" s="86"/>
      <c r="B44" s="31" t="s">
        <v>22</v>
      </c>
      <c r="C44" s="32"/>
      <c r="D44" s="32"/>
      <c r="E44" s="32">
        <v>4</v>
      </c>
      <c r="F44" s="32">
        <v>5</v>
      </c>
      <c r="G44" s="32">
        <v>31</v>
      </c>
      <c r="H44" s="32"/>
      <c r="I44" s="32">
        <v>4</v>
      </c>
      <c r="J44" s="32">
        <v>9</v>
      </c>
      <c r="K44" s="32">
        <v>15</v>
      </c>
      <c r="L44" s="32">
        <v>10</v>
      </c>
      <c r="M44" s="32">
        <v>29</v>
      </c>
      <c r="N44" s="32">
        <v>11</v>
      </c>
      <c r="O44" s="32"/>
      <c r="P44" s="32">
        <v>7</v>
      </c>
      <c r="Q44" s="32">
        <v>5</v>
      </c>
      <c r="R44" s="32">
        <v>3</v>
      </c>
      <c r="S44" s="32">
        <v>2</v>
      </c>
      <c r="T44" s="32">
        <v>12</v>
      </c>
      <c r="U44" s="32">
        <v>12</v>
      </c>
      <c r="V44" s="32"/>
      <c r="W44" s="32">
        <v>7</v>
      </c>
      <c r="X44" s="32">
        <v>5</v>
      </c>
      <c r="Y44" s="32">
        <v>1</v>
      </c>
      <c r="Z44" s="32">
        <v>27</v>
      </c>
      <c r="AA44" s="32">
        <v>15</v>
      </c>
      <c r="AB44" s="32">
        <v>6</v>
      </c>
      <c r="AC44" s="32"/>
      <c r="AD44" s="32">
        <v>4</v>
      </c>
      <c r="AE44" s="32">
        <v>4</v>
      </c>
      <c r="AF44" s="32"/>
      <c r="AG44" s="32"/>
      <c r="AH44" s="50"/>
      <c r="AI44" s="51">
        <f t="shared" si="17"/>
        <v>228</v>
      </c>
      <c r="AJ44" s="52">
        <f>SUM(AI44/AI33)</f>
        <v>3.54312354312354E-2</v>
      </c>
    </row>
    <row r="45" spans="1:36" s="8" customFormat="1" ht="12.75" customHeight="1">
      <c r="A45" s="86"/>
      <c r="B45" s="31" t="s">
        <v>23</v>
      </c>
      <c r="C45" s="32">
        <v>2</v>
      </c>
      <c r="D45" s="32"/>
      <c r="E45" s="32">
        <v>49</v>
      </c>
      <c r="F45" s="32">
        <v>25</v>
      </c>
      <c r="G45" s="32">
        <v>34</v>
      </c>
      <c r="H45" s="32"/>
      <c r="I45" s="32">
        <v>23</v>
      </c>
      <c r="J45" s="32">
        <v>27</v>
      </c>
      <c r="K45" s="32">
        <v>41</v>
      </c>
      <c r="L45" s="32">
        <v>20</v>
      </c>
      <c r="M45" s="32">
        <v>3</v>
      </c>
      <c r="N45" s="32">
        <v>43</v>
      </c>
      <c r="O45" s="32"/>
      <c r="P45" s="32">
        <v>24</v>
      </c>
      <c r="Q45" s="32">
        <v>13</v>
      </c>
      <c r="R45" s="32">
        <v>32</v>
      </c>
      <c r="S45" s="32">
        <v>27</v>
      </c>
      <c r="T45" s="32">
        <v>55</v>
      </c>
      <c r="U45" s="32">
        <v>63</v>
      </c>
      <c r="V45" s="32"/>
      <c r="W45" s="32">
        <v>47</v>
      </c>
      <c r="X45" s="32">
        <v>37</v>
      </c>
      <c r="Y45" s="32">
        <v>30</v>
      </c>
      <c r="Z45" s="32">
        <v>36</v>
      </c>
      <c r="AA45" s="32">
        <v>29</v>
      </c>
      <c r="AB45" s="32">
        <v>33</v>
      </c>
      <c r="AC45" s="32"/>
      <c r="AD45" s="32">
        <v>47</v>
      </c>
      <c r="AE45" s="32">
        <v>34</v>
      </c>
      <c r="AF45" s="32">
        <v>23</v>
      </c>
      <c r="AG45" s="32"/>
      <c r="AH45" s="50"/>
      <c r="AI45" s="51">
        <f t="shared" si="17"/>
        <v>797</v>
      </c>
      <c r="AJ45" s="52">
        <f>SUM(AI45/AI33)</f>
        <v>0.12385392385392401</v>
      </c>
    </row>
    <row r="46" spans="1:36" s="8" customFormat="1" ht="12.75" customHeight="1">
      <c r="A46" s="86"/>
      <c r="B46" s="31" t="s">
        <v>24</v>
      </c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50"/>
      <c r="AI46" s="51">
        <f t="shared" si="17"/>
        <v>0</v>
      </c>
      <c r="AJ46" s="52">
        <f>SUM(AI46/AI33)</f>
        <v>0</v>
      </c>
    </row>
    <row r="47" spans="1:36" s="8" customFormat="1" ht="12.75" customHeight="1">
      <c r="A47" s="86"/>
      <c r="B47" s="33" t="s">
        <v>25</v>
      </c>
      <c r="C47" s="32">
        <v>7</v>
      </c>
      <c r="D47" s="32"/>
      <c r="E47" s="32">
        <v>28</v>
      </c>
      <c r="F47" s="32">
        <v>14</v>
      </c>
      <c r="G47" s="32">
        <v>28</v>
      </c>
      <c r="H47" s="32"/>
      <c r="I47" s="32">
        <v>28</v>
      </c>
      <c r="J47" s="32">
        <v>28</v>
      </c>
      <c r="K47" s="32">
        <v>28</v>
      </c>
      <c r="L47" s="32">
        <v>28</v>
      </c>
      <c r="M47" s="32">
        <v>14</v>
      </c>
      <c r="N47" s="32">
        <v>28</v>
      </c>
      <c r="O47" s="32"/>
      <c r="P47" s="32">
        <v>28</v>
      </c>
      <c r="Q47" s="32">
        <v>28</v>
      </c>
      <c r="R47" s="32">
        <v>28</v>
      </c>
      <c r="S47" s="32">
        <v>28</v>
      </c>
      <c r="T47" s="32">
        <v>28</v>
      </c>
      <c r="U47" s="32">
        <v>28</v>
      </c>
      <c r="V47" s="32"/>
      <c r="W47" s="32">
        <v>28</v>
      </c>
      <c r="X47" s="32">
        <v>28</v>
      </c>
      <c r="Y47" s="32">
        <v>28</v>
      </c>
      <c r="Z47" s="32">
        <v>28</v>
      </c>
      <c r="AA47" s="32">
        <v>28</v>
      </c>
      <c r="AB47" s="32">
        <v>14</v>
      </c>
      <c r="AC47" s="32"/>
      <c r="AD47" s="32">
        <v>28</v>
      </c>
      <c r="AE47" s="32">
        <v>28</v>
      </c>
      <c r="AF47" s="32">
        <v>14</v>
      </c>
      <c r="AG47" s="32"/>
      <c r="AH47" s="50"/>
      <c r="AI47" s="51">
        <f t="shared" si="17"/>
        <v>623</v>
      </c>
      <c r="AJ47" s="52">
        <f>SUM(AI47/AI33)</f>
        <v>9.6814296814296805E-2</v>
      </c>
    </row>
    <row r="48" spans="1:36" s="8" customFormat="1" ht="12.75" customHeight="1">
      <c r="A48" s="86"/>
      <c r="B48" s="33" t="s">
        <v>26</v>
      </c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40">
        <v>4</v>
      </c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50"/>
      <c r="AI48" s="51">
        <f t="shared" ref="AI48:AI79" si="18">SUM(C48:AG48)</f>
        <v>4</v>
      </c>
      <c r="AJ48" s="52"/>
    </row>
    <row r="49" spans="1:36" s="7" customFormat="1" ht="12.75" customHeight="1">
      <c r="A49" s="82" t="s">
        <v>27</v>
      </c>
      <c r="B49" s="82"/>
      <c r="C49" s="34">
        <f>SUM(C40:C48)</f>
        <v>12</v>
      </c>
      <c r="D49" s="34">
        <f t="shared" ref="D49:AG49" si="19">SUM(D40:D48)</f>
        <v>0</v>
      </c>
      <c r="E49" s="34">
        <f t="shared" si="19"/>
        <v>135</v>
      </c>
      <c r="F49" s="34">
        <f t="shared" si="19"/>
        <v>58</v>
      </c>
      <c r="G49" s="34">
        <f t="shared" si="19"/>
        <v>102</v>
      </c>
      <c r="H49" s="34">
        <f t="shared" si="19"/>
        <v>0</v>
      </c>
      <c r="I49" s="34">
        <f t="shared" si="19"/>
        <v>57</v>
      </c>
      <c r="J49" s="34">
        <f t="shared" si="19"/>
        <v>93</v>
      </c>
      <c r="K49" s="34">
        <f t="shared" si="19"/>
        <v>99</v>
      </c>
      <c r="L49" s="34">
        <f t="shared" si="19"/>
        <v>63</v>
      </c>
      <c r="M49" s="34">
        <f t="shared" si="19"/>
        <v>53</v>
      </c>
      <c r="N49" s="34">
        <f t="shared" si="19"/>
        <v>88</v>
      </c>
      <c r="O49" s="34">
        <f t="shared" si="19"/>
        <v>0</v>
      </c>
      <c r="P49" s="34">
        <f t="shared" si="19"/>
        <v>62</v>
      </c>
      <c r="Q49" s="34">
        <f t="shared" si="19"/>
        <v>47</v>
      </c>
      <c r="R49" s="34">
        <f t="shared" si="19"/>
        <v>69</v>
      </c>
      <c r="S49" s="34">
        <f t="shared" si="19"/>
        <v>75</v>
      </c>
      <c r="T49" s="34">
        <f t="shared" si="19"/>
        <v>127</v>
      </c>
      <c r="U49" s="34">
        <f t="shared" si="19"/>
        <v>137</v>
      </c>
      <c r="V49" s="34">
        <f t="shared" si="19"/>
        <v>0</v>
      </c>
      <c r="W49" s="34">
        <f t="shared" si="19"/>
        <v>119</v>
      </c>
      <c r="X49" s="34">
        <f t="shared" si="19"/>
        <v>79</v>
      </c>
      <c r="Y49" s="34">
        <f t="shared" si="19"/>
        <v>70</v>
      </c>
      <c r="Z49" s="34">
        <f t="shared" si="19"/>
        <v>93</v>
      </c>
      <c r="AA49" s="34">
        <f t="shared" si="19"/>
        <v>76</v>
      </c>
      <c r="AB49" s="34">
        <f t="shared" si="19"/>
        <v>56</v>
      </c>
      <c r="AC49" s="34">
        <f t="shared" si="19"/>
        <v>0</v>
      </c>
      <c r="AD49" s="34">
        <f t="shared" si="19"/>
        <v>92</v>
      </c>
      <c r="AE49" s="34">
        <f t="shared" si="19"/>
        <v>70</v>
      </c>
      <c r="AF49" s="34">
        <f t="shared" si="19"/>
        <v>49</v>
      </c>
      <c r="AG49" s="34">
        <f t="shared" si="19"/>
        <v>0</v>
      </c>
      <c r="AI49" s="29">
        <f t="shared" si="18"/>
        <v>1981</v>
      </c>
      <c r="AJ49" s="53"/>
    </row>
    <row r="50" spans="1:36" s="8" customFormat="1" ht="12.75" customHeight="1">
      <c r="A50" s="86" t="s">
        <v>28</v>
      </c>
      <c r="B50" s="35" t="s">
        <v>29</v>
      </c>
      <c r="C50" s="32"/>
      <c r="D50" s="32"/>
      <c r="E50" s="32">
        <v>3</v>
      </c>
      <c r="F50" s="32">
        <v>2</v>
      </c>
      <c r="G50" s="32">
        <v>23</v>
      </c>
      <c r="H50" s="32"/>
      <c r="I50" s="32">
        <v>17</v>
      </c>
      <c r="J50" s="32">
        <v>3</v>
      </c>
      <c r="K50" s="32">
        <v>12</v>
      </c>
      <c r="L50" s="32">
        <v>10</v>
      </c>
      <c r="M50" s="32"/>
      <c r="N50" s="32">
        <v>18</v>
      </c>
      <c r="O50" s="32"/>
      <c r="P50" s="32">
        <v>5</v>
      </c>
      <c r="Q50" s="32">
        <v>9</v>
      </c>
      <c r="R50" s="32">
        <v>17</v>
      </c>
      <c r="S50" s="32">
        <v>5</v>
      </c>
      <c r="T50" s="32">
        <v>5</v>
      </c>
      <c r="U50" s="32"/>
      <c r="V50" s="32"/>
      <c r="W50" s="32">
        <v>6</v>
      </c>
      <c r="X50" s="32">
        <v>4</v>
      </c>
      <c r="Y50" s="32">
        <v>2</v>
      </c>
      <c r="Z50" s="32"/>
      <c r="AA50" s="32"/>
      <c r="AB50" s="32"/>
      <c r="AC50" s="32"/>
      <c r="AD50" s="32"/>
      <c r="AE50" s="32">
        <v>4</v>
      </c>
      <c r="AF50" s="32">
        <v>2</v>
      </c>
      <c r="AG50" s="32"/>
      <c r="AH50" s="50"/>
      <c r="AI50" s="51">
        <f t="shared" si="18"/>
        <v>147</v>
      </c>
      <c r="AJ50" s="52">
        <f>SUM(AI50/AI31)</f>
        <v>5.87158015405908E-5</v>
      </c>
    </row>
    <row r="51" spans="1:36" s="8" customFormat="1" ht="12.75" customHeight="1">
      <c r="A51" s="86"/>
      <c r="B51" s="31" t="s">
        <v>30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50"/>
      <c r="AI51" s="51">
        <f t="shared" si="18"/>
        <v>0</v>
      </c>
      <c r="AJ51" s="52">
        <f>SUM(AI51/AI31)</f>
        <v>0</v>
      </c>
    </row>
    <row r="52" spans="1:36" s="8" customFormat="1" ht="12.75" customHeight="1">
      <c r="A52" s="86"/>
      <c r="B52" s="31" t="s">
        <v>20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50"/>
      <c r="AI52" s="51">
        <f t="shared" si="18"/>
        <v>0</v>
      </c>
      <c r="AJ52" s="52">
        <f>SUM(AI52/AI32)</f>
        <v>0</v>
      </c>
    </row>
    <row r="53" spans="1:36" s="8" customFormat="1" ht="12.75" customHeight="1">
      <c r="A53" s="86"/>
      <c r="B53" s="31" t="s">
        <v>31</v>
      </c>
      <c r="C53" s="32"/>
      <c r="D53" s="32"/>
      <c r="E53" s="32">
        <v>5</v>
      </c>
      <c r="F53" s="32">
        <v>15</v>
      </c>
      <c r="G53" s="32">
        <v>5</v>
      </c>
      <c r="H53" s="32"/>
      <c r="I53" s="32"/>
      <c r="J53" s="32">
        <v>26</v>
      </c>
      <c r="K53" s="32"/>
      <c r="L53" s="32">
        <v>9</v>
      </c>
      <c r="M53" s="32"/>
      <c r="N53" s="32"/>
      <c r="O53" s="32"/>
      <c r="P53" s="32">
        <v>15</v>
      </c>
      <c r="Q53" s="32">
        <v>23</v>
      </c>
      <c r="R53" s="32">
        <v>11</v>
      </c>
      <c r="S53" s="32">
        <v>6</v>
      </c>
      <c r="T53" s="32">
        <v>13</v>
      </c>
      <c r="U53" s="32">
        <v>9</v>
      </c>
      <c r="V53" s="32"/>
      <c r="W53" s="32"/>
      <c r="X53" s="32">
        <v>6</v>
      </c>
      <c r="Y53" s="32"/>
      <c r="Z53" s="32">
        <v>12</v>
      </c>
      <c r="AA53" s="32"/>
      <c r="AB53" s="32"/>
      <c r="AC53" s="32"/>
      <c r="AD53" s="32">
        <v>16</v>
      </c>
      <c r="AE53" s="32"/>
      <c r="AF53" s="32"/>
      <c r="AG53" s="32"/>
      <c r="AH53" s="50"/>
      <c r="AI53" s="51">
        <f t="shared" si="18"/>
        <v>171</v>
      </c>
      <c r="AJ53" s="52"/>
    </row>
    <row r="54" spans="1:36" s="8" customFormat="1" ht="12.75" customHeight="1">
      <c r="A54" s="86"/>
      <c r="B54" s="31" t="s">
        <v>32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50"/>
      <c r="AI54" s="51">
        <f t="shared" si="18"/>
        <v>0</v>
      </c>
      <c r="AJ54" s="52"/>
    </row>
    <row r="55" spans="1:36" s="8" customFormat="1" ht="12.75" customHeight="1">
      <c r="A55" s="86"/>
      <c r="B55" s="31" t="s">
        <v>33</v>
      </c>
      <c r="C55" s="32">
        <v>6</v>
      </c>
      <c r="D55" s="32"/>
      <c r="E55" s="32">
        <v>30</v>
      </c>
      <c r="F55" s="32">
        <v>15</v>
      </c>
      <c r="G55" s="32">
        <v>39</v>
      </c>
      <c r="H55" s="32"/>
      <c r="I55" s="32">
        <v>22</v>
      </c>
      <c r="J55" s="32">
        <v>39</v>
      </c>
      <c r="K55" s="32">
        <v>47</v>
      </c>
      <c r="L55" s="32">
        <v>65</v>
      </c>
      <c r="M55" s="32">
        <v>20</v>
      </c>
      <c r="N55" s="32">
        <v>61</v>
      </c>
      <c r="O55" s="32"/>
      <c r="P55" s="32">
        <v>41</v>
      </c>
      <c r="Q55" s="32">
        <v>56</v>
      </c>
      <c r="R55" s="32">
        <v>46</v>
      </c>
      <c r="S55" s="32">
        <v>24</v>
      </c>
      <c r="T55" s="32">
        <v>26</v>
      </c>
      <c r="U55" s="32">
        <v>53</v>
      </c>
      <c r="V55" s="32"/>
      <c r="W55" s="32">
        <v>69</v>
      </c>
      <c r="X55" s="32">
        <v>11</v>
      </c>
      <c r="Y55" s="32">
        <v>32</v>
      </c>
      <c r="Z55" s="32">
        <v>49</v>
      </c>
      <c r="AA55" s="32">
        <v>24</v>
      </c>
      <c r="AB55" s="32">
        <v>6</v>
      </c>
      <c r="AC55" s="32"/>
      <c r="AD55" s="32">
        <v>41</v>
      </c>
      <c r="AE55" s="32">
        <v>25</v>
      </c>
      <c r="AF55" s="32">
        <v>25</v>
      </c>
      <c r="AG55" s="32"/>
      <c r="AH55" s="50"/>
      <c r="AI55" s="51">
        <f t="shared" si="18"/>
        <v>872</v>
      </c>
      <c r="AJ55" s="52"/>
    </row>
    <row r="56" spans="1:36" s="8" customFormat="1" ht="12.75" customHeight="1">
      <c r="A56" s="86"/>
      <c r="B56" s="31" t="s">
        <v>25</v>
      </c>
      <c r="C56" s="32">
        <v>4</v>
      </c>
      <c r="D56" s="32"/>
      <c r="E56" s="32">
        <v>16</v>
      </c>
      <c r="F56" s="32">
        <v>8</v>
      </c>
      <c r="G56" s="32">
        <v>16</v>
      </c>
      <c r="H56" s="32"/>
      <c r="I56" s="32">
        <v>16</v>
      </c>
      <c r="J56" s="32">
        <v>16</v>
      </c>
      <c r="K56" s="32">
        <v>16</v>
      </c>
      <c r="L56" s="32">
        <v>16</v>
      </c>
      <c r="M56" s="32">
        <v>8</v>
      </c>
      <c r="N56" s="32">
        <v>16</v>
      </c>
      <c r="O56" s="32"/>
      <c r="P56" s="32">
        <v>16</v>
      </c>
      <c r="Q56" s="32">
        <v>16</v>
      </c>
      <c r="R56" s="32">
        <v>16</v>
      </c>
      <c r="S56" s="32">
        <v>16</v>
      </c>
      <c r="T56" s="32">
        <v>16</v>
      </c>
      <c r="U56" s="32">
        <v>16</v>
      </c>
      <c r="V56" s="32"/>
      <c r="W56" s="32">
        <v>16</v>
      </c>
      <c r="X56" s="32">
        <v>16</v>
      </c>
      <c r="Y56" s="32">
        <v>16</v>
      </c>
      <c r="Z56" s="32">
        <v>16</v>
      </c>
      <c r="AA56" s="32">
        <v>16</v>
      </c>
      <c r="AB56" s="32">
        <v>8</v>
      </c>
      <c r="AC56" s="32"/>
      <c r="AD56" s="32">
        <v>16</v>
      </c>
      <c r="AE56" s="32">
        <v>16</v>
      </c>
      <c r="AF56" s="32">
        <v>8</v>
      </c>
      <c r="AG56" s="32"/>
      <c r="AH56" s="50"/>
      <c r="AI56" s="51">
        <f t="shared" si="18"/>
        <v>356</v>
      </c>
      <c r="AJ56" s="52"/>
    </row>
    <row r="57" spans="1:36" s="8" customFormat="1" ht="12.75" customHeight="1">
      <c r="A57" s="86"/>
      <c r="B57" s="31" t="s">
        <v>34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50"/>
      <c r="AI57" s="51">
        <f t="shared" si="18"/>
        <v>0</v>
      </c>
      <c r="AJ57" s="52"/>
    </row>
    <row r="58" spans="1:36" s="8" customFormat="1" ht="12.75" customHeight="1">
      <c r="A58" s="87"/>
      <c r="B58" s="36" t="s">
        <v>26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40">
        <v>20</v>
      </c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50"/>
      <c r="AI58" s="51">
        <f t="shared" si="18"/>
        <v>20</v>
      </c>
      <c r="AJ58" s="52">
        <f>SUM(AI58/AI33)</f>
        <v>3.1080031080031102E-3</v>
      </c>
    </row>
    <row r="59" spans="1:36" s="7" customFormat="1" ht="12.75" customHeight="1">
      <c r="A59" s="83" t="s">
        <v>35</v>
      </c>
      <c r="B59" s="84"/>
      <c r="C59" s="34">
        <f>SUM(C50:C58)</f>
        <v>10</v>
      </c>
      <c r="D59" s="34">
        <f t="shared" ref="D59:AG59" si="20">SUM(D50:D58)</f>
        <v>0</v>
      </c>
      <c r="E59" s="34">
        <f t="shared" si="20"/>
        <v>54</v>
      </c>
      <c r="F59" s="34">
        <f t="shared" si="20"/>
        <v>40</v>
      </c>
      <c r="G59" s="34">
        <f t="shared" si="20"/>
        <v>83</v>
      </c>
      <c r="H59" s="34">
        <f t="shared" si="20"/>
        <v>0</v>
      </c>
      <c r="I59" s="34">
        <f t="shared" si="20"/>
        <v>55</v>
      </c>
      <c r="J59" s="34">
        <f t="shared" si="20"/>
        <v>84</v>
      </c>
      <c r="K59" s="34">
        <f t="shared" si="20"/>
        <v>75</v>
      </c>
      <c r="L59" s="34">
        <f t="shared" si="20"/>
        <v>100</v>
      </c>
      <c r="M59" s="34">
        <f t="shared" si="20"/>
        <v>28</v>
      </c>
      <c r="N59" s="34">
        <f t="shared" si="20"/>
        <v>95</v>
      </c>
      <c r="O59" s="34">
        <f t="shared" si="20"/>
        <v>0</v>
      </c>
      <c r="P59" s="34">
        <f t="shared" si="20"/>
        <v>77</v>
      </c>
      <c r="Q59" s="34">
        <f t="shared" si="20"/>
        <v>104</v>
      </c>
      <c r="R59" s="34">
        <f t="shared" si="20"/>
        <v>110</v>
      </c>
      <c r="S59" s="34">
        <f t="shared" si="20"/>
        <v>51</v>
      </c>
      <c r="T59" s="34">
        <f t="shared" si="20"/>
        <v>60</v>
      </c>
      <c r="U59" s="34">
        <f t="shared" si="20"/>
        <v>78</v>
      </c>
      <c r="V59" s="34">
        <f t="shared" si="20"/>
        <v>0</v>
      </c>
      <c r="W59" s="34">
        <f t="shared" si="20"/>
        <v>91</v>
      </c>
      <c r="X59" s="34">
        <f t="shared" si="20"/>
        <v>37</v>
      </c>
      <c r="Y59" s="34">
        <f t="shared" si="20"/>
        <v>50</v>
      </c>
      <c r="Z59" s="34">
        <f t="shared" si="20"/>
        <v>77</v>
      </c>
      <c r="AA59" s="34">
        <f t="shared" si="20"/>
        <v>40</v>
      </c>
      <c r="AB59" s="34">
        <f t="shared" si="20"/>
        <v>14</v>
      </c>
      <c r="AC59" s="34">
        <f t="shared" si="20"/>
        <v>0</v>
      </c>
      <c r="AD59" s="34">
        <f t="shared" si="20"/>
        <v>73</v>
      </c>
      <c r="AE59" s="34">
        <f t="shared" si="20"/>
        <v>45</v>
      </c>
      <c r="AF59" s="34">
        <f t="shared" si="20"/>
        <v>35</v>
      </c>
      <c r="AG59" s="34">
        <f t="shared" si="20"/>
        <v>0</v>
      </c>
      <c r="AI59" s="29">
        <f t="shared" si="18"/>
        <v>1566</v>
      </c>
      <c r="AJ59" s="53">
        <f>SUM(AI59/AI33)</f>
        <v>0.243356643356643</v>
      </c>
    </row>
    <row r="60" spans="1:36" s="8" customFormat="1" ht="12.75" customHeight="1">
      <c r="A60" s="88" t="s">
        <v>36</v>
      </c>
      <c r="B60" s="36" t="s">
        <v>37</v>
      </c>
      <c r="C60" s="32"/>
      <c r="D60" s="32"/>
      <c r="E60" s="32">
        <v>17</v>
      </c>
      <c r="F60" s="32">
        <v>2</v>
      </c>
      <c r="G60" s="32">
        <v>57</v>
      </c>
      <c r="H60" s="32"/>
      <c r="I60" s="32">
        <v>11</v>
      </c>
      <c r="J60" s="32">
        <v>17</v>
      </c>
      <c r="K60" s="32">
        <v>12</v>
      </c>
      <c r="L60" s="32">
        <v>14</v>
      </c>
      <c r="M60" s="32"/>
      <c r="N60" s="32"/>
      <c r="O60" s="32"/>
      <c r="P60" s="32">
        <v>47</v>
      </c>
      <c r="Q60" s="32">
        <v>30</v>
      </c>
      <c r="R60" s="32"/>
      <c r="S60" s="32">
        <v>29</v>
      </c>
      <c r="T60" s="32">
        <v>7</v>
      </c>
      <c r="U60" s="32">
        <v>3</v>
      </c>
      <c r="V60" s="32"/>
      <c r="W60" s="32">
        <v>16</v>
      </c>
      <c r="X60" s="32"/>
      <c r="Y60" s="32">
        <v>6</v>
      </c>
      <c r="Z60" s="32">
        <v>5</v>
      </c>
      <c r="AA60" s="32">
        <v>21</v>
      </c>
      <c r="AB60" s="32">
        <v>8</v>
      </c>
      <c r="AC60" s="32"/>
      <c r="AD60" s="32">
        <v>4</v>
      </c>
      <c r="AE60" s="32">
        <v>15</v>
      </c>
      <c r="AF60" s="32"/>
      <c r="AG60" s="32"/>
      <c r="AH60" s="50"/>
      <c r="AI60" s="51">
        <f t="shared" si="18"/>
        <v>321</v>
      </c>
      <c r="AJ60" s="52">
        <f>SUM(AI60/$AI33)</f>
        <v>4.98834498834499E-2</v>
      </c>
    </row>
    <row r="61" spans="1:36" s="8" customFormat="1" ht="12.75" customHeight="1">
      <c r="A61" s="86"/>
      <c r="B61" s="36" t="s">
        <v>38</v>
      </c>
      <c r="C61" s="32"/>
      <c r="D61" s="32"/>
      <c r="E61" s="32"/>
      <c r="F61" s="32">
        <v>3</v>
      </c>
      <c r="G61" s="32"/>
      <c r="H61" s="32"/>
      <c r="I61" s="32"/>
      <c r="J61" s="38"/>
      <c r="K61" s="32"/>
      <c r="L61" s="32">
        <v>8</v>
      </c>
      <c r="M61" s="32"/>
      <c r="N61" s="32"/>
      <c r="O61" s="32"/>
      <c r="P61" s="32"/>
      <c r="Q61" s="32">
        <v>12</v>
      </c>
      <c r="R61" s="32"/>
      <c r="S61" s="32">
        <v>5</v>
      </c>
      <c r="T61" s="32"/>
      <c r="U61" s="32">
        <v>4</v>
      </c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50"/>
      <c r="AI61" s="51">
        <f t="shared" si="18"/>
        <v>32</v>
      </c>
      <c r="AJ61" s="52">
        <f>SUM(AI61/$AI33)</f>
        <v>4.9728049728049702E-3</v>
      </c>
    </row>
    <row r="62" spans="1:36" s="8" customFormat="1" ht="12.75" customHeight="1">
      <c r="A62" s="86"/>
      <c r="B62" s="36" t="s">
        <v>39</v>
      </c>
      <c r="C62" s="32"/>
      <c r="D62" s="32"/>
      <c r="E62" s="32">
        <v>44</v>
      </c>
      <c r="F62" s="32">
        <v>45</v>
      </c>
      <c r="G62" s="32">
        <v>22</v>
      </c>
      <c r="H62" s="32"/>
      <c r="I62" s="32">
        <v>15</v>
      </c>
      <c r="J62" s="32">
        <v>10</v>
      </c>
      <c r="K62" s="32">
        <v>27</v>
      </c>
      <c r="L62" s="32">
        <v>91</v>
      </c>
      <c r="M62" s="32"/>
      <c r="N62" s="32">
        <v>78</v>
      </c>
      <c r="O62" s="32"/>
      <c r="P62" s="32">
        <v>72</v>
      </c>
      <c r="Q62" s="32">
        <v>24</v>
      </c>
      <c r="R62" s="32">
        <v>148</v>
      </c>
      <c r="S62" s="32">
        <v>65</v>
      </c>
      <c r="T62" s="32">
        <v>43</v>
      </c>
      <c r="U62" s="32">
        <v>1</v>
      </c>
      <c r="V62" s="32"/>
      <c r="W62" s="32">
        <v>110</v>
      </c>
      <c r="X62" s="32">
        <v>16</v>
      </c>
      <c r="Y62" s="32">
        <v>20</v>
      </c>
      <c r="Z62" s="32">
        <v>6</v>
      </c>
      <c r="AA62" s="32">
        <v>49</v>
      </c>
      <c r="AB62" s="32">
        <v>18</v>
      </c>
      <c r="AC62" s="32"/>
      <c r="AD62" s="32"/>
      <c r="AE62" s="32">
        <v>81</v>
      </c>
      <c r="AF62" s="32">
        <v>8</v>
      </c>
      <c r="AG62" s="32"/>
      <c r="AH62" s="50"/>
      <c r="AI62" s="51">
        <f t="shared" si="18"/>
        <v>993</v>
      </c>
      <c r="AJ62" s="52">
        <f>SUM(AI62/$AI33)</f>
        <v>0.15431235431235399</v>
      </c>
    </row>
    <row r="63" spans="1:36" s="8" customFormat="1" ht="12.75" customHeight="1">
      <c r="A63" s="86"/>
      <c r="B63" s="36" t="s">
        <v>40</v>
      </c>
      <c r="C63" s="32">
        <v>11</v>
      </c>
      <c r="D63" s="32"/>
      <c r="E63" s="32">
        <v>31</v>
      </c>
      <c r="F63" s="32">
        <v>12</v>
      </c>
      <c r="G63" s="32">
        <v>13</v>
      </c>
      <c r="H63" s="32"/>
      <c r="I63" s="32"/>
      <c r="J63" s="32"/>
      <c r="K63" s="32"/>
      <c r="L63" s="32"/>
      <c r="M63" s="32"/>
      <c r="N63" s="32"/>
      <c r="O63" s="32"/>
      <c r="P63" s="32">
        <v>115</v>
      </c>
      <c r="Q63" s="32"/>
      <c r="R63" s="32"/>
      <c r="S63" s="32">
        <v>74</v>
      </c>
      <c r="T63" s="32">
        <v>37</v>
      </c>
      <c r="U63" s="32"/>
      <c r="V63" s="32"/>
      <c r="W63" s="32">
        <v>102</v>
      </c>
      <c r="X63" s="32"/>
      <c r="Y63" s="32"/>
      <c r="Z63" s="32">
        <v>55</v>
      </c>
      <c r="AA63" s="32">
        <v>39</v>
      </c>
      <c r="AB63" s="32">
        <v>12</v>
      </c>
      <c r="AC63" s="32"/>
      <c r="AD63" s="32"/>
      <c r="AE63" s="32">
        <v>5</v>
      </c>
      <c r="AF63" s="32">
        <v>1</v>
      </c>
      <c r="AG63" s="32"/>
      <c r="AH63" s="50"/>
      <c r="AI63" s="51">
        <f t="shared" si="18"/>
        <v>507</v>
      </c>
      <c r="AJ63" s="52">
        <f>SUM(AI63/$AI33)</f>
        <v>7.8787878787878796E-2</v>
      </c>
    </row>
    <row r="64" spans="1:36" s="8" customFormat="1" ht="12.75" customHeight="1">
      <c r="A64" s="86"/>
      <c r="B64" s="36" t="s">
        <v>41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50"/>
      <c r="AI64" s="51">
        <f t="shared" si="18"/>
        <v>0</v>
      </c>
      <c r="AJ64" s="52">
        <f>SUM(AI64/$AI33)</f>
        <v>0</v>
      </c>
    </row>
    <row r="65" spans="1:36" s="8" customFormat="1" ht="12.75" customHeight="1">
      <c r="A65" s="86"/>
      <c r="B65" s="36" t="s">
        <v>42</v>
      </c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50"/>
      <c r="AI65" s="51">
        <f t="shared" si="18"/>
        <v>0</v>
      </c>
      <c r="AJ65" s="52">
        <f>SUM(AI65/$AI33)</f>
        <v>0</v>
      </c>
    </row>
    <row r="66" spans="1:36" s="8" customFormat="1" ht="12.75" customHeight="1">
      <c r="A66" s="86"/>
      <c r="B66" s="36" t="s">
        <v>43</v>
      </c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50"/>
      <c r="AI66" s="51">
        <f t="shared" si="18"/>
        <v>0</v>
      </c>
      <c r="AJ66" s="52">
        <f>SUM(AI66/$AI33)</f>
        <v>0</v>
      </c>
    </row>
    <row r="67" spans="1:36" s="8" customFormat="1" ht="12.75" customHeight="1">
      <c r="A67" s="86"/>
      <c r="B67" s="36" t="s">
        <v>44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50"/>
      <c r="AI67" s="51">
        <f t="shared" si="18"/>
        <v>0</v>
      </c>
      <c r="AJ67" s="52">
        <f>SUM(AI67/$AI33)</f>
        <v>0</v>
      </c>
    </row>
    <row r="68" spans="1:36" s="8" customFormat="1" ht="12.75" customHeight="1">
      <c r="A68" s="86"/>
      <c r="B68" s="36" t="s">
        <v>45</v>
      </c>
      <c r="C68" s="32"/>
      <c r="D68" s="32"/>
      <c r="E68" s="32">
        <v>4</v>
      </c>
      <c r="F68" s="32">
        <v>2</v>
      </c>
      <c r="G68" s="32">
        <v>3</v>
      </c>
      <c r="H68" s="32"/>
      <c r="I68" s="32">
        <v>1</v>
      </c>
      <c r="J68" s="32">
        <v>2</v>
      </c>
      <c r="K68" s="32">
        <v>1</v>
      </c>
      <c r="L68" s="32">
        <v>5</v>
      </c>
      <c r="M68" s="32"/>
      <c r="N68" s="32">
        <v>2</v>
      </c>
      <c r="O68" s="32"/>
      <c r="P68" s="32">
        <v>1</v>
      </c>
      <c r="Q68" s="32">
        <v>3</v>
      </c>
      <c r="R68" s="32">
        <v>3</v>
      </c>
      <c r="S68" s="32">
        <v>1</v>
      </c>
      <c r="T68" s="32">
        <v>1</v>
      </c>
      <c r="U68" s="32">
        <v>6</v>
      </c>
      <c r="V68" s="32"/>
      <c r="W68" s="32">
        <v>5</v>
      </c>
      <c r="X68" s="32">
        <v>6</v>
      </c>
      <c r="Y68" s="32"/>
      <c r="Z68" s="32">
        <v>1</v>
      </c>
      <c r="AA68" s="32">
        <v>5</v>
      </c>
      <c r="AB68" s="32"/>
      <c r="AC68" s="32"/>
      <c r="AD68" s="32">
        <v>2</v>
      </c>
      <c r="AE68" s="32">
        <v>2</v>
      </c>
      <c r="AF68" s="32"/>
      <c r="AG68" s="32"/>
      <c r="AH68" s="50"/>
      <c r="AI68" s="51">
        <f t="shared" si="18"/>
        <v>56</v>
      </c>
      <c r="AJ68" s="52"/>
    </row>
    <row r="69" spans="1:36" s="8" customFormat="1" ht="12.75" customHeight="1">
      <c r="A69" s="86"/>
      <c r="B69" s="54" t="s">
        <v>26</v>
      </c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50"/>
      <c r="AI69" s="51">
        <f t="shared" si="18"/>
        <v>0</v>
      </c>
      <c r="AJ69" s="52"/>
    </row>
    <row r="70" spans="1:36" s="7" customFormat="1" ht="12.75" customHeight="1">
      <c r="A70" s="82" t="s">
        <v>46</v>
      </c>
      <c r="B70" s="82"/>
      <c r="C70" s="34">
        <f>SUM(C60:C69)</f>
        <v>11</v>
      </c>
      <c r="D70" s="34">
        <f t="shared" ref="D70:AG70" si="21">SUM(D60:D69)</f>
        <v>0</v>
      </c>
      <c r="E70" s="34">
        <f t="shared" si="21"/>
        <v>96</v>
      </c>
      <c r="F70" s="34">
        <f t="shared" si="21"/>
        <v>64</v>
      </c>
      <c r="G70" s="34">
        <f t="shared" si="21"/>
        <v>95</v>
      </c>
      <c r="H70" s="34">
        <f t="shared" si="21"/>
        <v>0</v>
      </c>
      <c r="I70" s="34">
        <f t="shared" si="21"/>
        <v>27</v>
      </c>
      <c r="J70" s="34">
        <f t="shared" si="21"/>
        <v>29</v>
      </c>
      <c r="K70" s="34">
        <f t="shared" si="21"/>
        <v>40</v>
      </c>
      <c r="L70" s="34">
        <f t="shared" si="21"/>
        <v>118</v>
      </c>
      <c r="M70" s="34">
        <f t="shared" si="21"/>
        <v>0</v>
      </c>
      <c r="N70" s="34">
        <f t="shared" si="21"/>
        <v>80</v>
      </c>
      <c r="O70" s="34">
        <f t="shared" si="21"/>
        <v>0</v>
      </c>
      <c r="P70" s="34">
        <f t="shared" si="21"/>
        <v>235</v>
      </c>
      <c r="Q70" s="34">
        <f t="shared" si="21"/>
        <v>69</v>
      </c>
      <c r="R70" s="34">
        <f t="shared" si="21"/>
        <v>151</v>
      </c>
      <c r="S70" s="34">
        <f t="shared" si="21"/>
        <v>174</v>
      </c>
      <c r="T70" s="34">
        <f t="shared" si="21"/>
        <v>88</v>
      </c>
      <c r="U70" s="34">
        <f t="shared" si="21"/>
        <v>14</v>
      </c>
      <c r="V70" s="34">
        <f t="shared" si="21"/>
        <v>0</v>
      </c>
      <c r="W70" s="34">
        <f t="shared" si="21"/>
        <v>233</v>
      </c>
      <c r="X70" s="34">
        <f t="shared" si="21"/>
        <v>22</v>
      </c>
      <c r="Y70" s="34">
        <f t="shared" si="21"/>
        <v>26</v>
      </c>
      <c r="Z70" s="34">
        <f t="shared" si="21"/>
        <v>67</v>
      </c>
      <c r="AA70" s="34">
        <f t="shared" si="21"/>
        <v>114</v>
      </c>
      <c r="AB70" s="34">
        <f t="shared" si="21"/>
        <v>38</v>
      </c>
      <c r="AC70" s="34">
        <f t="shared" si="21"/>
        <v>0</v>
      </c>
      <c r="AD70" s="34">
        <f t="shared" si="21"/>
        <v>6</v>
      </c>
      <c r="AE70" s="34">
        <f t="shared" si="21"/>
        <v>103</v>
      </c>
      <c r="AF70" s="34">
        <f t="shared" si="21"/>
        <v>9</v>
      </c>
      <c r="AG70" s="34">
        <f t="shared" si="21"/>
        <v>0</v>
      </c>
      <c r="AI70" s="29">
        <f t="shared" si="18"/>
        <v>1909</v>
      </c>
      <c r="AJ70" s="53"/>
    </row>
    <row r="71" spans="1:36" s="8" customFormat="1" ht="12.75" customHeight="1">
      <c r="A71" s="86" t="s">
        <v>47</v>
      </c>
      <c r="B71" s="36" t="s">
        <v>48</v>
      </c>
      <c r="C71" s="32">
        <v>1</v>
      </c>
      <c r="D71" s="32"/>
      <c r="E71" s="32"/>
      <c r="F71" s="32"/>
      <c r="G71" s="32">
        <v>1</v>
      </c>
      <c r="H71" s="32"/>
      <c r="I71" s="32">
        <v>1</v>
      </c>
      <c r="J71" s="32"/>
      <c r="K71" s="32"/>
      <c r="L71" s="32"/>
      <c r="M71" s="32">
        <v>1</v>
      </c>
      <c r="N71" s="32"/>
      <c r="O71" s="32"/>
      <c r="P71" s="32">
        <v>1</v>
      </c>
      <c r="Q71" s="32">
        <v>6</v>
      </c>
      <c r="R71" s="32"/>
      <c r="S71" s="32"/>
      <c r="T71" s="32"/>
      <c r="U71" s="32"/>
      <c r="V71" s="32"/>
      <c r="W71" s="32">
        <v>1</v>
      </c>
      <c r="X71" s="32"/>
      <c r="Y71" s="32"/>
      <c r="Z71" s="32"/>
      <c r="AA71" s="32">
        <v>2</v>
      </c>
      <c r="AB71" s="32"/>
      <c r="AC71" s="32"/>
      <c r="AD71" s="32"/>
      <c r="AE71" s="32"/>
      <c r="AF71" s="32">
        <v>1</v>
      </c>
      <c r="AG71" s="32"/>
      <c r="AH71" s="50"/>
      <c r="AI71" s="51">
        <f t="shared" si="18"/>
        <v>15</v>
      </c>
      <c r="AJ71" s="52"/>
    </row>
    <row r="72" spans="1:36" s="8" customFormat="1" ht="12.75" customHeight="1">
      <c r="A72" s="86"/>
      <c r="B72" s="36" t="s">
        <v>49</v>
      </c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>
        <v>1</v>
      </c>
      <c r="T72" s="32">
        <v>5</v>
      </c>
      <c r="U72" s="32"/>
      <c r="V72" s="32"/>
      <c r="W72" s="32">
        <v>4</v>
      </c>
      <c r="X72" s="32">
        <v>2</v>
      </c>
      <c r="Y72" s="32">
        <v>3</v>
      </c>
      <c r="Z72" s="32"/>
      <c r="AA72" s="32">
        <v>5</v>
      </c>
      <c r="AB72" s="32"/>
      <c r="AC72" s="32"/>
      <c r="AD72" s="32">
        <v>1</v>
      </c>
      <c r="AE72" s="32">
        <v>2</v>
      </c>
      <c r="AF72" s="32">
        <v>3</v>
      </c>
      <c r="AG72" s="32"/>
      <c r="AH72" s="50"/>
      <c r="AI72" s="51">
        <f t="shared" si="18"/>
        <v>26</v>
      </c>
      <c r="AJ72" s="52"/>
    </row>
    <row r="73" spans="1:36" s="8" customFormat="1" ht="12.75" customHeight="1">
      <c r="A73" s="86"/>
      <c r="B73" s="36" t="s">
        <v>50</v>
      </c>
      <c r="C73" s="32">
        <v>4</v>
      </c>
      <c r="D73" s="32"/>
      <c r="E73" s="32">
        <v>9</v>
      </c>
      <c r="F73" s="32">
        <v>11</v>
      </c>
      <c r="G73" s="32">
        <v>12</v>
      </c>
      <c r="H73" s="32"/>
      <c r="I73" s="32"/>
      <c r="J73" s="32"/>
      <c r="K73" s="32">
        <v>16</v>
      </c>
      <c r="L73" s="32">
        <v>8</v>
      </c>
      <c r="M73" s="32">
        <v>8</v>
      </c>
      <c r="N73" s="32">
        <v>7</v>
      </c>
      <c r="O73" s="32"/>
      <c r="P73" s="32"/>
      <c r="Q73" s="32">
        <v>1</v>
      </c>
      <c r="R73" s="32">
        <v>8</v>
      </c>
      <c r="S73" s="32">
        <v>14</v>
      </c>
      <c r="T73" s="32"/>
      <c r="U73" s="32">
        <v>11</v>
      </c>
      <c r="V73" s="32"/>
      <c r="W73" s="32">
        <v>14</v>
      </c>
      <c r="X73" s="32">
        <v>5</v>
      </c>
      <c r="Y73" s="32"/>
      <c r="Z73" s="32"/>
      <c r="AA73" s="32"/>
      <c r="AB73" s="32"/>
      <c r="AC73" s="32"/>
      <c r="AD73" s="32">
        <v>2</v>
      </c>
      <c r="AE73" s="32"/>
      <c r="AF73" s="32"/>
      <c r="AG73" s="32"/>
      <c r="AH73" s="50"/>
      <c r="AI73" s="51">
        <f t="shared" si="18"/>
        <v>130</v>
      </c>
      <c r="AJ73" s="52"/>
    </row>
    <row r="74" spans="1:36" s="8" customFormat="1" ht="12.75" customHeight="1">
      <c r="A74" s="86"/>
      <c r="B74" s="36" t="s">
        <v>51</v>
      </c>
      <c r="C74" s="32"/>
      <c r="D74" s="32"/>
      <c r="E74" s="32"/>
      <c r="F74" s="32"/>
      <c r="G74" s="32"/>
      <c r="H74" s="32"/>
      <c r="I74" s="32">
        <v>6</v>
      </c>
      <c r="J74" s="32">
        <v>11</v>
      </c>
      <c r="K74" s="32"/>
      <c r="L74" s="32">
        <v>5</v>
      </c>
      <c r="M74" s="32">
        <v>3</v>
      </c>
      <c r="N74" s="32">
        <v>4</v>
      </c>
      <c r="O74" s="32"/>
      <c r="P74" s="32">
        <v>7</v>
      </c>
      <c r="Q74" s="32">
        <v>12</v>
      </c>
      <c r="R74" s="32">
        <v>4</v>
      </c>
      <c r="S74" s="32"/>
      <c r="T74" s="32">
        <v>12</v>
      </c>
      <c r="U74" s="32"/>
      <c r="V74" s="32"/>
      <c r="W74" s="32"/>
      <c r="X74" s="32">
        <v>16</v>
      </c>
      <c r="Y74" s="32">
        <v>13</v>
      </c>
      <c r="Z74" s="32">
        <v>12</v>
      </c>
      <c r="AA74" s="32">
        <v>15</v>
      </c>
      <c r="AB74" s="32">
        <v>3</v>
      </c>
      <c r="AC74" s="32"/>
      <c r="AD74" s="32">
        <v>3</v>
      </c>
      <c r="AE74" s="32">
        <v>4</v>
      </c>
      <c r="AF74" s="32">
        <v>6</v>
      </c>
      <c r="AG74" s="32"/>
      <c r="AH74" s="50"/>
      <c r="AI74" s="51">
        <f t="shared" si="18"/>
        <v>136</v>
      </c>
      <c r="AJ74" s="52"/>
    </row>
    <row r="75" spans="1:36" s="8" customFormat="1" ht="12.75" customHeight="1">
      <c r="A75" s="86"/>
      <c r="B75" s="36" t="s">
        <v>52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50"/>
      <c r="AI75" s="51">
        <f t="shared" si="18"/>
        <v>0</v>
      </c>
      <c r="AJ75" s="52"/>
    </row>
    <row r="76" spans="1:36" s="8" customFormat="1" ht="12.75" customHeight="1">
      <c r="A76" s="86"/>
      <c r="B76" s="36" t="s">
        <v>53</v>
      </c>
      <c r="C76" s="32"/>
      <c r="D76" s="32"/>
      <c r="E76" s="32"/>
      <c r="F76" s="32"/>
      <c r="G76" s="32"/>
      <c r="H76" s="32"/>
      <c r="I76" s="32"/>
      <c r="J76" s="32">
        <v>1</v>
      </c>
      <c r="K76" s="32"/>
      <c r="L76" s="32">
        <v>1</v>
      </c>
      <c r="M76" s="32">
        <v>3</v>
      </c>
      <c r="N76" s="32"/>
      <c r="O76" s="32"/>
      <c r="P76" s="32"/>
      <c r="Q76" s="32"/>
      <c r="R76" s="32"/>
      <c r="S76" s="32"/>
      <c r="T76" s="32">
        <v>3</v>
      </c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50"/>
      <c r="AI76" s="51">
        <f t="shared" si="18"/>
        <v>8</v>
      </c>
      <c r="AJ76" s="52"/>
    </row>
    <row r="77" spans="1:36" s="8" customFormat="1" ht="12.75" customHeight="1">
      <c r="A77" s="86"/>
      <c r="B77" s="36" t="s">
        <v>54</v>
      </c>
      <c r="C77" s="32"/>
      <c r="D77" s="32"/>
      <c r="E77" s="32">
        <v>4</v>
      </c>
      <c r="F77" s="32">
        <v>2</v>
      </c>
      <c r="G77" s="32">
        <v>6</v>
      </c>
      <c r="H77" s="32"/>
      <c r="I77" s="32">
        <v>3</v>
      </c>
      <c r="J77" s="32">
        <v>5</v>
      </c>
      <c r="K77" s="32">
        <v>3</v>
      </c>
      <c r="L77" s="32">
        <v>18</v>
      </c>
      <c r="M77" s="32">
        <v>3</v>
      </c>
      <c r="N77" s="32">
        <v>10</v>
      </c>
      <c r="O77" s="32"/>
      <c r="P77" s="32">
        <v>36</v>
      </c>
      <c r="Q77" s="32">
        <v>15</v>
      </c>
      <c r="R77" s="32">
        <v>37</v>
      </c>
      <c r="S77" s="32">
        <v>15</v>
      </c>
      <c r="T77" s="32">
        <v>6</v>
      </c>
      <c r="U77" s="32">
        <v>5</v>
      </c>
      <c r="V77" s="32"/>
      <c r="W77" s="32">
        <v>10</v>
      </c>
      <c r="X77" s="32">
        <v>115</v>
      </c>
      <c r="Y77" s="32">
        <v>3</v>
      </c>
      <c r="Z77" s="32">
        <v>15</v>
      </c>
      <c r="AA77" s="32">
        <v>2</v>
      </c>
      <c r="AB77" s="32"/>
      <c r="AC77" s="32"/>
      <c r="AD77" s="32">
        <v>1</v>
      </c>
      <c r="AE77" s="32">
        <v>5</v>
      </c>
      <c r="AF77" s="32">
        <v>13</v>
      </c>
      <c r="AG77" s="32"/>
      <c r="AH77" s="50"/>
      <c r="AI77" s="51">
        <f t="shared" si="18"/>
        <v>332</v>
      </c>
      <c r="AJ77" s="52"/>
    </row>
    <row r="78" spans="1:36" s="8" customFormat="1" ht="12.75" customHeight="1">
      <c r="A78" s="86"/>
      <c r="B78" s="36" t="s">
        <v>55</v>
      </c>
      <c r="C78" s="32"/>
      <c r="D78" s="32"/>
      <c r="E78" s="32">
        <v>6</v>
      </c>
      <c r="F78" s="32"/>
      <c r="G78" s="32">
        <v>1</v>
      </c>
      <c r="H78" s="32"/>
      <c r="I78" s="32">
        <v>5</v>
      </c>
      <c r="J78" s="32"/>
      <c r="K78" s="32"/>
      <c r="L78" s="32">
        <v>26</v>
      </c>
      <c r="M78" s="32">
        <v>3</v>
      </c>
      <c r="N78" s="32">
        <v>6</v>
      </c>
      <c r="O78" s="32"/>
      <c r="P78" s="32">
        <v>1</v>
      </c>
      <c r="Q78" s="32"/>
      <c r="R78" s="32"/>
      <c r="S78" s="32">
        <v>20</v>
      </c>
      <c r="T78" s="32">
        <v>4</v>
      </c>
      <c r="U78" s="32">
        <v>7</v>
      </c>
      <c r="V78" s="32"/>
      <c r="W78" s="32"/>
      <c r="X78" s="32">
        <v>1</v>
      </c>
      <c r="Y78" s="32">
        <v>2</v>
      </c>
      <c r="Z78" s="32">
        <v>4</v>
      </c>
      <c r="AA78" s="32">
        <v>5</v>
      </c>
      <c r="AB78" s="32"/>
      <c r="AC78" s="32"/>
      <c r="AD78" s="32"/>
      <c r="AE78" s="32">
        <v>1</v>
      </c>
      <c r="AF78" s="32">
        <v>4</v>
      </c>
      <c r="AG78" s="32"/>
      <c r="AH78" s="50"/>
      <c r="AI78" s="51">
        <f t="shared" si="18"/>
        <v>96</v>
      </c>
      <c r="AJ78" s="52"/>
    </row>
    <row r="79" spans="1:36" s="8" customFormat="1" ht="12.75" customHeight="1">
      <c r="A79" s="86"/>
      <c r="B79" s="36" t="s">
        <v>56</v>
      </c>
      <c r="C79" s="32"/>
      <c r="D79" s="32"/>
      <c r="E79" s="32"/>
      <c r="F79" s="32"/>
      <c r="G79" s="32">
        <v>1</v>
      </c>
      <c r="H79" s="32"/>
      <c r="I79" s="32"/>
      <c r="J79" s="32">
        <v>4</v>
      </c>
      <c r="K79" s="32">
        <v>4</v>
      </c>
      <c r="L79" s="32">
        <v>6</v>
      </c>
      <c r="M79" s="32">
        <v>2</v>
      </c>
      <c r="N79" s="32">
        <v>5</v>
      </c>
      <c r="O79" s="32"/>
      <c r="P79" s="32"/>
      <c r="Q79" s="32"/>
      <c r="R79" s="32">
        <v>3</v>
      </c>
      <c r="S79" s="32">
        <v>11</v>
      </c>
      <c r="T79" s="32">
        <v>4</v>
      </c>
      <c r="U79" s="32">
        <v>4</v>
      </c>
      <c r="V79" s="32"/>
      <c r="W79" s="32">
        <v>1</v>
      </c>
      <c r="X79" s="32"/>
      <c r="Y79" s="32"/>
      <c r="Z79" s="32">
        <v>2</v>
      </c>
      <c r="AA79" s="32"/>
      <c r="AB79" s="32">
        <v>1</v>
      </c>
      <c r="AC79" s="32"/>
      <c r="AD79" s="32"/>
      <c r="AE79" s="32"/>
      <c r="AF79" s="32"/>
      <c r="AG79" s="32"/>
      <c r="AH79" s="50"/>
      <c r="AI79" s="51">
        <f t="shared" si="18"/>
        <v>48</v>
      </c>
      <c r="AJ79" s="52"/>
    </row>
    <row r="80" spans="1:36" s="8" customFormat="1" ht="12.75" customHeight="1">
      <c r="A80" s="86"/>
      <c r="B80" s="36" t="s">
        <v>57</v>
      </c>
      <c r="C80" s="32"/>
      <c r="D80" s="32"/>
      <c r="E80" s="32"/>
      <c r="F80" s="32"/>
      <c r="G80" s="32"/>
      <c r="H80" s="32"/>
      <c r="I80" s="32"/>
      <c r="J80" s="32"/>
      <c r="K80" s="32">
        <v>1</v>
      </c>
      <c r="L80" s="32"/>
      <c r="M80" s="32"/>
      <c r="N80" s="32">
        <v>1</v>
      </c>
      <c r="O80" s="32"/>
      <c r="P80" s="32"/>
      <c r="Q80" s="32"/>
      <c r="R80" s="32"/>
      <c r="S80" s="32"/>
      <c r="T80" s="32">
        <v>1</v>
      </c>
      <c r="U80" s="32"/>
      <c r="V80" s="32"/>
      <c r="W80" s="32"/>
      <c r="X80" s="32"/>
      <c r="Y80" s="32"/>
      <c r="Z80" s="32"/>
      <c r="AA80" s="32"/>
      <c r="AB80" s="32"/>
      <c r="AC80" s="32"/>
      <c r="AD80" s="32">
        <v>2</v>
      </c>
      <c r="AE80" s="32">
        <v>1</v>
      </c>
      <c r="AF80" s="32"/>
      <c r="AG80" s="32"/>
      <c r="AH80" s="50"/>
      <c r="AI80" s="51">
        <f t="shared" ref="AI80:AI97" si="22">SUM(C80:AG80)</f>
        <v>6</v>
      </c>
      <c r="AJ80" s="52"/>
    </row>
    <row r="81" spans="1:36" s="8" customFormat="1" ht="12.75" customHeight="1">
      <c r="A81" s="86"/>
      <c r="B81" s="36" t="s">
        <v>58</v>
      </c>
      <c r="C81" s="32"/>
      <c r="D81" s="32"/>
      <c r="E81" s="32"/>
      <c r="F81" s="32">
        <v>1</v>
      </c>
      <c r="G81" s="32"/>
      <c r="H81" s="32"/>
      <c r="I81" s="32"/>
      <c r="J81" s="32">
        <v>2</v>
      </c>
      <c r="K81" s="32"/>
      <c r="L81" s="32"/>
      <c r="M81" s="32">
        <v>1</v>
      </c>
      <c r="N81" s="32">
        <v>1</v>
      </c>
      <c r="O81" s="32"/>
      <c r="P81" s="32">
        <v>4</v>
      </c>
      <c r="Q81" s="32"/>
      <c r="R81" s="32">
        <v>1</v>
      </c>
      <c r="S81" s="32">
        <v>3</v>
      </c>
      <c r="T81" s="32"/>
      <c r="U81" s="32"/>
      <c r="V81" s="32"/>
      <c r="W81" s="32"/>
      <c r="X81" s="32">
        <v>1</v>
      </c>
      <c r="Y81" s="32">
        <v>1</v>
      </c>
      <c r="Z81" s="32"/>
      <c r="AA81" s="32">
        <v>4</v>
      </c>
      <c r="AB81" s="32"/>
      <c r="AC81" s="32"/>
      <c r="AD81" s="32"/>
      <c r="AE81" s="32"/>
      <c r="AF81" s="32"/>
      <c r="AG81" s="32"/>
      <c r="AH81" s="50"/>
      <c r="AI81" s="51">
        <f t="shared" si="22"/>
        <v>19</v>
      </c>
      <c r="AJ81" s="52"/>
    </row>
    <row r="82" spans="1:36" s="8" customFormat="1" ht="12.75" customHeight="1">
      <c r="A82" s="86"/>
      <c r="B82" s="36" t="s">
        <v>59</v>
      </c>
      <c r="C82" s="32"/>
      <c r="D82" s="32"/>
      <c r="E82" s="32">
        <v>2</v>
      </c>
      <c r="F82" s="32"/>
      <c r="G82" s="32">
        <v>1</v>
      </c>
      <c r="H82" s="32"/>
      <c r="I82" s="32">
        <v>1</v>
      </c>
      <c r="J82" s="32">
        <v>2</v>
      </c>
      <c r="K82" s="32">
        <v>5</v>
      </c>
      <c r="L82" s="32">
        <v>1</v>
      </c>
      <c r="M82" s="32">
        <v>3</v>
      </c>
      <c r="N82" s="32">
        <v>21</v>
      </c>
      <c r="O82" s="32"/>
      <c r="P82" s="32">
        <v>5</v>
      </c>
      <c r="Q82" s="32"/>
      <c r="R82" s="32">
        <v>3</v>
      </c>
      <c r="S82" s="32"/>
      <c r="T82" s="32"/>
      <c r="U82" s="32">
        <v>1</v>
      </c>
      <c r="V82" s="32"/>
      <c r="W82" s="32"/>
      <c r="X82" s="32">
        <v>1</v>
      </c>
      <c r="Y82" s="32">
        <v>1</v>
      </c>
      <c r="Z82" s="32"/>
      <c r="AA82" s="32">
        <v>4</v>
      </c>
      <c r="AB82" s="32"/>
      <c r="AC82" s="32"/>
      <c r="AD82" s="32"/>
      <c r="AE82" s="32"/>
      <c r="AF82" s="32">
        <v>3</v>
      </c>
      <c r="AG82" s="32"/>
      <c r="AH82" s="50"/>
      <c r="AI82" s="51">
        <f t="shared" si="22"/>
        <v>54</v>
      </c>
      <c r="AJ82" s="52">
        <f>SUM(AI82/$AI33)</f>
        <v>8.3916083916083899E-3</v>
      </c>
    </row>
    <row r="83" spans="1:36" s="8" customFormat="1" ht="12.75" customHeight="1">
      <c r="A83" s="87"/>
      <c r="B83" s="55" t="s">
        <v>26</v>
      </c>
      <c r="C83" s="32"/>
      <c r="D83" s="32"/>
      <c r="E83" s="32"/>
      <c r="F83" s="32"/>
      <c r="G83" s="32"/>
      <c r="H83" s="32"/>
      <c r="I83" s="32"/>
      <c r="J83" s="32"/>
      <c r="K83" s="32"/>
      <c r="L83" s="32">
        <v>109</v>
      </c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50"/>
      <c r="AI83" s="51">
        <f t="shared" si="22"/>
        <v>109</v>
      </c>
      <c r="AJ83" s="52">
        <f>SUM(AI83/$AI33)</f>
        <v>1.69386169386169E-2</v>
      </c>
    </row>
    <row r="84" spans="1:36" s="7" customFormat="1" ht="12.75" customHeight="1">
      <c r="A84" s="79" t="s">
        <v>60</v>
      </c>
      <c r="B84" s="80"/>
      <c r="C84" s="34">
        <f>SUM(C71:C83)</f>
        <v>5</v>
      </c>
      <c r="D84" s="34">
        <f t="shared" ref="D84:AG84" si="23">SUM(D71:D83)</f>
        <v>0</v>
      </c>
      <c r="E84" s="34">
        <f t="shared" si="23"/>
        <v>21</v>
      </c>
      <c r="F84" s="34">
        <f t="shared" si="23"/>
        <v>14</v>
      </c>
      <c r="G84" s="34">
        <f t="shared" si="23"/>
        <v>22</v>
      </c>
      <c r="H84" s="34">
        <f t="shared" si="23"/>
        <v>0</v>
      </c>
      <c r="I84" s="34">
        <f t="shared" si="23"/>
        <v>16</v>
      </c>
      <c r="J84" s="34">
        <f t="shared" si="23"/>
        <v>25</v>
      </c>
      <c r="K84" s="34">
        <f t="shared" si="23"/>
        <v>29</v>
      </c>
      <c r="L84" s="34">
        <f t="shared" si="23"/>
        <v>174</v>
      </c>
      <c r="M84" s="34">
        <f t="shared" si="23"/>
        <v>27</v>
      </c>
      <c r="N84" s="34">
        <f t="shared" si="23"/>
        <v>55</v>
      </c>
      <c r="O84" s="34">
        <f t="shared" si="23"/>
        <v>0</v>
      </c>
      <c r="P84" s="34">
        <f t="shared" si="23"/>
        <v>54</v>
      </c>
      <c r="Q84" s="34">
        <f t="shared" si="23"/>
        <v>34</v>
      </c>
      <c r="R84" s="34">
        <f t="shared" si="23"/>
        <v>56</v>
      </c>
      <c r="S84" s="34">
        <f t="shared" si="23"/>
        <v>64</v>
      </c>
      <c r="T84" s="34">
        <f t="shared" si="23"/>
        <v>35</v>
      </c>
      <c r="U84" s="34">
        <f t="shared" si="23"/>
        <v>28</v>
      </c>
      <c r="V84" s="34">
        <f t="shared" si="23"/>
        <v>0</v>
      </c>
      <c r="W84" s="34">
        <f t="shared" si="23"/>
        <v>30</v>
      </c>
      <c r="X84" s="34">
        <f t="shared" si="23"/>
        <v>141</v>
      </c>
      <c r="Y84" s="34">
        <f t="shared" si="23"/>
        <v>23</v>
      </c>
      <c r="Z84" s="34">
        <f t="shared" si="23"/>
        <v>33</v>
      </c>
      <c r="AA84" s="34">
        <f t="shared" si="23"/>
        <v>37</v>
      </c>
      <c r="AB84" s="34">
        <f t="shared" si="23"/>
        <v>4</v>
      </c>
      <c r="AC84" s="34">
        <f t="shared" si="23"/>
        <v>0</v>
      </c>
      <c r="AD84" s="34">
        <f t="shared" si="23"/>
        <v>9</v>
      </c>
      <c r="AE84" s="34">
        <f t="shared" si="23"/>
        <v>13</v>
      </c>
      <c r="AF84" s="34">
        <f t="shared" si="23"/>
        <v>30</v>
      </c>
      <c r="AG84" s="34">
        <f t="shared" si="23"/>
        <v>0</v>
      </c>
      <c r="AH84" s="66">
        <f>SUM(AH60:AH83)</f>
        <v>0</v>
      </c>
      <c r="AI84" s="29">
        <f t="shared" si="22"/>
        <v>979</v>
      </c>
      <c r="AJ84" s="53">
        <f>SUM(AI84/$AI33)</f>
        <v>0.15213675213675201</v>
      </c>
    </row>
    <row r="85" spans="1:36" ht="12.75" customHeight="1">
      <c r="A85" s="89" t="s">
        <v>61</v>
      </c>
      <c r="B85" s="56" t="s">
        <v>62</v>
      </c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65"/>
      <c r="Z85" s="57"/>
      <c r="AA85" s="57"/>
      <c r="AB85" s="57"/>
      <c r="AC85" s="57"/>
      <c r="AD85" s="57"/>
      <c r="AE85" s="57"/>
      <c r="AF85" s="57"/>
      <c r="AG85" s="67"/>
      <c r="AI85" s="49">
        <f t="shared" si="22"/>
        <v>0</v>
      </c>
      <c r="AJ85" s="68">
        <f>AI85/$AI$30</f>
        <v>0</v>
      </c>
    </row>
    <row r="86" spans="1:36" ht="12.75" customHeight="1">
      <c r="A86" s="90"/>
      <c r="B86" s="56" t="s">
        <v>63</v>
      </c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65"/>
      <c r="Z86" s="57"/>
      <c r="AA86" s="57"/>
      <c r="AB86" s="57"/>
      <c r="AC86" s="57"/>
      <c r="AD86" s="57"/>
      <c r="AE86" s="57"/>
      <c r="AF86" s="57"/>
      <c r="AG86" s="67"/>
      <c r="AI86" s="49">
        <f t="shared" si="22"/>
        <v>0</v>
      </c>
      <c r="AJ86" s="68">
        <f>AI86/$AI$30</f>
        <v>0</v>
      </c>
    </row>
    <row r="87" spans="1:36" ht="12.75" customHeight="1">
      <c r="A87" s="90"/>
      <c r="B87" s="56" t="s">
        <v>64</v>
      </c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65"/>
      <c r="Z87" s="57"/>
      <c r="AA87" s="57"/>
      <c r="AB87" s="57"/>
      <c r="AC87" s="57"/>
      <c r="AD87" s="57"/>
      <c r="AE87" s="57"/>
      <c r="AF87" s="57"/>
      <c r="AG87" s="67"/>
      <c r="AI87" s="49">
        <f t="shared" si="22"/>
        <v>0</v>
      </c>
      <c r="AJ87" s="68"/>
    </row>
    <row r="88" spans="1:36" ht="12.75" customHeight="1">
      <c r="A88" s="90"/>
      <c r="B88" s="56" t="s">
        <v>65</v>
      </c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 t="s">
        <v>66</v>
      </c>
      <c r="U88" s="57"/>
      <c r="V88" s="57"/>
      <c r="W88" s="57" t="s">
        <v>67</v>
      </c>
      <c r="X88" s="57"/>
      <c r="Y88" s="65"/>
      <c r="Z88" s="57"/>
      <c r="AA88" s="57"/>
      <c r="AB88" s="57"/>
      <c r="AC88" s="57"/>
      <c r="AD88" s="57"/>
      <c r="AE88" s="57"/>
      <c r="AF88" s="57"/>
      <c r="AG88" s="67"/>
      <c r="AI88" s="49">
        <f t="shared" si="22"/>
        <v>0</v>
      </c>
      <c r="AJ88" s="68">
        <f>AI88/$AI$30</f>
        <v>0</v>
      </c>
    </row>
    <row r="89" spans="1:36" ht="12.75" customHeight="1">
      <c r="A89" s="90"/>
      <c r="B89" s="56" t="s">
        <v>68</v>
      </c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65"/>
      <c r="Z89" s="57"/>
      <c r="AA89" s="57"/>
      <c r="AB89" s="57"/>
      <c r="AC89" s="57"/>
      <c r="AD89" s="57"/>
      <c r="AE89" s="57"/>
      <c r="AF89" s="57"/>
      <c r="AG89" s="67"/>
      <c r="AI89" s="49">
        <f t="shared" si="22"/>
        <v>0</v>
      </c>
      <c r="AJ89" s="68"/>
    </row>
    <row r="90" spans="1:36" ht="12.75" customHeight="1">
      <c r="A90" s="90"/>
      <c r="C90" s="57"/>
      <c r="D90" s="57"/>
      <c r="E90" s="57" t="s">
        <v>69</v>
      </c>
      <c r="F90" s="57"/>
      <c r="G90" s="57"/>
      <c r="H90" s="57"/>
      <c r="I90" s="57" t="s">
        <v>70</v>
      </c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65"/>
      <c r="Z90" s="57"/>
      <c r="AA90" s="57"/>
      <c r="AB90" s="57"/>
      <c r="AC90" s="57"/>
      <c r="AD90" s="57"/>
      <c r="AE90" s="57"/>
      <c r="AF90" s="57"/>
      <c r="AG90" s="67"/>
      <c r="AI90" s="49">
        <f t="shared" si="22"/>
        <v>0</v>
      </c>
      <c r="AJ90" s="68">
        <f>AI90/$AI$30</f>
        <v>0</v>
      </c>
    </row>
    <row r="91" spans="1:36" ht="12.75" customHeight="1">
      <c r="A91" s="90"/>
      <c r="B91" s="58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65"/>
      <c r="Z91" s="57"/>
      <c r="AA91" s="57"/>
      <c r="AB91" s="57"/>
      <c r="AC91" s="57"/>
      <c r="AD91" s="57"/>
      <c r="AE91" s="57"/>
      <c r="AF91" s="57"/>
      <c r="AG91" s="67"/>
      <c r="AI91" s="49">
        <f t="shared" si="22"/>
        <v>0</v>
      </c>
      <c r="AJ91" s="68">
        <f>AI91/$AI$30</f>
        <v>0</v>
      </c>
    </row>
    <row r="92" spans="1:36" ht="12.75" customHeight="1">
      <c r="A92" s="90"/>
      <c r="B92" s="58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65"/>
      <c r="Z92" s="57"/>
      <c r="AA92" s="57"/>
      <c r="AB92" s="57"/>
      <c r="AC92" s="57"/>
      <c r="AD92" s="57"/>
      <c r="AE92" s="57"/>
      <c r="AF92" s="57"/>
      <c r="AG92" s="67"/>
      <c r="AI92" s="49">
        <f t="shared" si="22"/>
        <v>0</v>
      </c>
      <c r="AJ92" s="68">
        <f>AI92/$AI$30</f>
        <v>0</v>
      </c>
    </row>
    <row r="93" spans="1:36" ht="12.75" customHeight="1">
      <c r="A93" s="90"/>
      <c r="B93" s="58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65"/>
      <c r="Z93" s="57"/>
      <c r="AA93" s="57"/>
      <c r="AB93" s="57"/>
      <c r="AC93" s="57"/>
      <c r="AD93" s="57"/>
      <c r="AE93" s="57"/>
      <c r="AF93" s="57"/>
      <c r="AG93" s="67"/>
      <c r="AI93" s="49">
        <f t="shared" si="22"/>
        <v>0</v>
      </c>
      <c r="AJ93" s="68"/>
    </row>
    <row r="94" spans="1:36" ht="12.75" customHeight="1">
      <c r="A94" s="90"/>
      <c r="B94" s="58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65"/>
      <c r="Z94" s="57"/>
      <c r="AA94" s="57"/>
      <c r="AB94" s="57"/>
      <c r="AC94" s="57"/>
      <c r="AD94" s="57"/>
      <c r="AE94" s="57"/>
      <c r="AF94" s="57"/>
      <c r="AG94" s="67"/>
      <c r="AI94" s="49">
        <f t="shared" si="22"/>
        <v>0</v>
      </c>
      <c r="AJ94" s="68">
        <f>AI94/$AI$30</f>
        <v>0</v>
      </c>
    </row>
    <row r="95" spans="1:36" ht="18" customHeight="1">
      <c r="A95" s="90"/>
      <c r="B95" s="58"/>
      <c r="C95" s="57"/>
      <c r="D95" s="57"/>
      <c r="E95" s="59"/>
      <c r="F95" s="57"/>
      <c r="G95" s="57"/>
      <c r="H95" s="57"/>
      <c r="I95" s="57"/>
      <c r="J95" s="57"/>
      <c r="K95" s="57"/>
      <c r="L95" s="57"/>
      <c r="M95" s="57"/>
      <c r="N95" s="59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65"/>
      <c r="Z95" s="57"/>
      <c r="AA95" s="57"/>
      <c r="AB95" s="57"/>
      <c r="AC95" s="57"/>
      <c r="AD95" s="57"/>
      <c r="AE95" s="57"/>
      <c r="AF95" s="57"/>
      <c r="AG95" s="67"/>
      <c r="AI95" s="49">
        <f t="shared" si="22"/>
        <v>0</v>
      </c>
      <c r="AJ95" s="68"/>
    </row>
    <row r="96" spans="1:36" ht="12.75" customHeight="1">
      <c r="A96" s="90"/>
      <c r="B96" s="56" t="s">
        <v>71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65"/>
      <c r="Z96" s="57"/>
      <c r="AA96" s="57"/>
      <c r="AB96" s="57"/>
      <c r="AC96" s="57"/>
      <c r="AD96" s="57"/>
      <c r="AE96" s="57"/>
      <c r="AF96" s="57"/>
      <c r="AG96" s="67"/>
      <c r="AI96" s="49">
        <f t="shared" si="22"/>
        <v>0</v>
      </c>
      <c r="AJ96" s="68">
        <f>AI96/$AI$30</f>
        <v>0</v>
      </c>
    </row>
    <row r="97" spans="1:36" s="7" customFormat="1" ht="12.75" customHeight="1">
      <c r="A97" s="91"/>
      <c r="B97" s="60" t="s">
        <v>72</v>
      </c>
      <c r="C97" s="34">
        <f t="shared" ref="C97:AH97" si="24">SUM(C85:C96)</f>
        <v>0</v>
      </c>
      <c r="D97" s="34">
        <f t="shared" si="24"/>
        <v>0</v>
      </c>
      <c r="E97" s="34">
        <f t="shared" si="24"/>
        <v>0</v>
      </c>
      <c r="F97" s="34">
        <f t="shared" si="24"/>
        <v>0</v>
      </c>
      <c r="G97" s="34">
        <f t="shared" si="24"/>
        <v>0</v>
      </c>
      <c r="H97" s="34">
        <f t="shared" si="24"/>
        <v>0</v>
      </c>
      <c r="I97" s="34">
        <f t="shared" si="24"/>
        <v>0</v>
      </c>
      <c r="J97" s="34">
        <f t="shared" si="24"/>
        <v>0</v>
      </c>
      <c r="K97" s="34">
        <f t="shared" si="24"/>
        <v>0</v>
      </c>
      <c r="L97" s="34">
        <f t="shared" si="24"/>
        <v>0</v>
      </c>
      <c r="M97" s="34">
        <f t="shared" si="24"/>
        <v>0</v>
      </c>
      <c r="N97" s="34">
        <f t="shared" si="24"/>
        <v>0</v>
      </c>
      <c r="O97" s="34">
        <f t="shared" si="24"/>
        <v>0</v>
      </c>
      <c r="P97" s="34">
        <f t="shared" si="24"/>
        <v>0</v>
      </c>
      <c r="Q97" s="34">
        <f t="shared" si="24"/>
        <v>0</v>
      </c>
      <c r="R97" s="34">
        <f t="shared" si="24"/>
        <v>0</v>
      </c>
      <c r="S97" s="34">
        <f t="shared" si="24"/>
        <v>0</v>
      </c>
      <c r="T97" s="34">
        <f t="shared" si="24"/>
        <v>0</v>
      </c>
      <c r="U97" s="34">
        <f t="shared" si="24"/>
        <v>0</v>
      </c>
      <c r="V97" s="34">
        <f t="shared" si="24"/>
        <v>0</v>
      </c>
      <c r="W97" s="34">
        <f t="shared" si="24"/>
        <v>0</v>
      </c>
      <c r="X97" s="34">
        <f t="shared" si="24"/>
        <v>0</v>
      </c>
      <c r="Y97" s="29">
        <f t="shared" si="24"/>
        <v>0</v>
      </c>
      <c r="Z97" s="34">
        <f t="shared" si="24"/>
        <v>0</v>
      </c>
      <c r="AA97" s="34">
        <f t="shared" si="24"/>
        <v>0</v>
      </c>
      <c r="AB97" s="34">
        <f t="shared" si="24"/>
        <v>0</v>
      </c>
      <c r="AC97" s="34">
        <f t="shared" si="24"/>
        <v>0</v>
      </c>
      <c r="AD97" s="34">
        <f t="shared" si="24"/>
        <v>0</v>
      </c>
      <c r="AE97" s="34">
        <f t="shared" si="24"/>
        <v>0</v>
      </c>
      <c r="AF97" s="34">
        <f t="shared" si="24"/>
        <v>0</v>
      </c>
      <c r="AG97" s="34">
        <f t="shared" si="24"/>
        <v>0</v>
      </c>
      <c r="AH97" s="34">
        <f t="shared" si="24"/>
        <v>0</v>
      </c>
      <c r="AI97" s="29">
        <f t="shared" si="22"/>
        <v>0</v>
      </c>
      <c r="AJ97" s="53">
        <f>AI97/$AI$30</f>
        <v>0</v>
      </c>
    </row>
    <row r="98" spans="1:36" ht="81.95" customHeight="1">
      <c r="A98" s="92" t="s">
        <v>73</v>
      </c>
      <c r="B98" s="61" t="s">
        <v>74</v>
      </c>
      <c r="C98" s="62" t="s">
        <v>75</v>
      </c>
      <c r="D98" s="63"/>
      <c r="E98" s="62" t="s">
        <v>76</v>
      </c>
      <c r="F98" s="62" t="s">
        <v>77</v>
      </c>
      <c r="G98" s="62" t="s">
        <v>77</v>
      </c>
      <c r="H98" s="63"/>
      <c r="I98" s="62" t="s">
        <v>78</v>
      </c>
      <c r="J98" s="62" t="s">
        <v>79</v>
      </c>
      <c r="K98" s="62" t="s">
        <v>77</v>
      </c>
      <c r="L98" s="62" t="s">
        <v>80</v>
      </c>
      <c r="M98" s="62" t="s">
        <v>81</v>
      </c>
      <c r="N98" s="62" t="s">
        <v>82</v>
      </c>
      <c r="O98" s="63"/>
      <c r="P98" s="62" t="s">
        <v>83</v>
      </c>
      <c r="Q98" s="62" t="s">
        <v>84</v>
      </c>
      <c r="R98" s="62" t="s">
        <v>83</v>
      </c>
      <c r="S98" s="62" t="s">
        <v>85</v>
      </c>
      <c r="T98" s="62" t="s">
        <v>83</v>
      </c>
      <c r="U98" s="62" t="s">
        <v>86</v>
      </c>
      <c r="V98" s="63"/>
      <c r="W98" s="62" t="s">
        <v>83</v>
      </c>
      <c r="X98" s="62" t="s">
        <v>83</v>
      </c>
      <c r="Y98" s="62" t="s">
        <v>85</v>
      </c>
      <c r="Z98" s="62" t="s">
        <v>83</v>
      </c>
      <c r="AA98" s="62" t="s">
        <v>83</v>
      </c>
      <c r="AB98" s="62" t="s">
        <v>83</v>
      </c>
      <c r="AC98" s="63"/>
      <c r="AD98" s="62" t="s">
        <v>87</v>
      </c>
      <c r="AE98" s="62" t="s">
        <v>82</v>
      </c>
      <c r="AF98" s="62" t="s">
        <v>82</v>
      </c>
      <c r="AG98" s="69"/>
    </row>
    <row r="99" spans="1:36" ht="81.95" customHeight="1">
      <c r="A99" s="93"/>
      <c r="B99" s="61" t="s">
        <v>88</v>
      </c>
      <c r="C99" s="63"/>
      <c r="D99" s="63"/>
      <c r="E99" s="62" t="s">
        <v>89</v>
      </c>
      <c r="F99" s="63"/>
      <c r="G99" s="62" t="s">
        <v>90</v>
      </c>
      <c r="H99" s="63"/>
      <c r="I99" s="62" t="s">
        <v>89</v>
      </c>
      <c r="J99" s="62" t="s">
        <v>83</v>
      </c>
      <c r="K99" s="62" t="s">
        <v>83</v>
      </c>
      <c r="L99" s="62" t="s">
        <v>83</v>
      </c>
      <c r="M99" s="62" t="s">
        <v>83</v>
      </c>
      <c r="N99" s="62" t="s">
        <v>91</v>
      </c>
      <c r="O99" s="63"/>
      <c r="P99" s="62" t="s">
        <v>82</v>
      </c>
      <c r="Q99" s="62" t="s">
        <v>82</v>
      </c>
      <c r="R99" s="62" t="s">
        <v>82</v>
      </c>
      <c r="S99" s="62" t="s">
        <v>92</v>
      </c>
      <c r="T99" s="62" t="s">
        <v>92</v>
      </c>
      <c r="U99" s="62" t="s">
        <v>77</v>
      </c>
      <c r="V99" s="63"/>
      <c r="W99" s="62" t="s">
        <v>92</v>
      </c>
      <c r="X99" s="62" t="s">
        <v>82</v>
      </c>
      <c r="Y99" s="62" t="s">
        <v>93</v>
      </c>
      <c r="Z99" s="62" t="s">
        <v>82</v>
      </c>
      <c r="AA99" s="62" t="s">
        <v>92</v>
      </c>
      <c r="AB99" s="63"/>
      <c r="AC99" s="63"/>
      <c r="AD99" s="62" t="s">
        <v>83</v>
      </c>
      <c r="AE99" s="62" t="s">
        <v>83</v>
      </c>
      <c r="AF99" s="63"/>
      <c r="AG99" s="69"/>
    </row>
    <row r="100" spans="1:36" ht="81.95" customHeight="1">
      <c r="A100" s="93"/>
      <c r="B100" s="61" t="s">
        <v>94</v>
      </c>
      <c r="C100" s="62" t="s">
        <v>95</v>
      </c>
      <c r="D100" s="63"/>
      <c r="E100" s="62" t="s">
        <v>96</v>
      </c>
      <c r="F100" s="62" t="s">
        <v>97</v>
      </c>
      <c r="G100" s="62" t="s">
        <v>97</v>
      </c>
      <c r="H100" s="63"/>
      <c r="I100" s="62" t="s">
        <v>98</v>
      </c>
      <c r="J100" s="62" t="s">
        <v>99</v>
      </c>
      <c r="K100" s="62" t="s">
        <v>100</v>
      </c>
      <c r="L100" s="62" t="s">
        <v>101</v>
      </c>
      <c r="M100" s="62" t="s">
        <v>101</v>
      </c>
      <c r="N100" s="62" t="s">
        <v>102</v>
      </c>
      <c r="O100" s="63"/>
      <c r="P100" s="62" t="s">
        <v>103</v>
      </c>
      <c r="Q100" s="62" t="s">
        <v>104</v>
      </c>
      <c r="R100" s="62" t="s">
        <v>104</v>
      </c>
      <c r="S100" s="62" t="s">
        <v>105</v>
      </c>
      <c r="T100" s="62" t="s">
        <v>106</v>
      </c>
      <c r="U100" s="62" t="s">
        <v>107</v>
      </c>
      <c r="V100" s="63"/>
      <c r="W100" s="62" t="s">
        <v>108</v>
      </c>
      <c r="X100" s="62" t="s">
        <v>109</v>
      </c>
      <c r="Y100" s="62" t="s">
        <v>110</v>
      </c>
      <c r="Z100" s="62" t="s">
        <v>111</v>
      </c>
      <c r="AA100" s="62" t="s">
        <v>112</v>
      </c>
      <c r="AB100" s="62" t="s">
        <v>113</v>
      </c>
      <c r="AC100" s="63"/>
      <c r="AD100" s="62" t="s">
        <v>114</v>
      </c>
      <c r="AE100" s="62" t="s">
        <v>115</v>
      </c>
      <c r="AF100" s="62" t="s">
        <v>116</v>
      </c>
      <c r="AG100" s="69"/>
    </row>
    <row r="101" spans="1:36" ht="81.95" customHeight="1">
      <c r="A101" s="93"/>
      <c r="B101" s="61" t="s">
        <v>117</v>
      </c>
      <c r="C101" s="62" t="s">
        <v>118</v>
      </c>
      <c r="D101" s="63"/>
      <c r="E101" s="62" t="s">
        <v>119</v>
      </c>
      <c r="F101" s="62" t="s">
        <v>120</v>
      </c>
      <c r="G101" s="62" t="s">
        <v>120</v>
      </c>
      <c r="H101" s="63"/>
      <c r="I101" s="62" t="s">
        <v>121</v>
      </c>
      <c r="J101" s="62" t="s">
        <v>122</v>
      </c>
      <c r="K101" s="62" t="s">
        <v>123</v>
      </c>
      <c r="L101" s="62" t="s">
        <v>124</v>
      </c>
      <c r="M101" s="62" t="s">
        <v>125</v>
      </c>
      <c r="N101" s="62" t="s">
        <v>126</v>
      </c>
      <c r="O101" s="63"/>
      <c r="P101" s="62" t="s">
        <v>127</v>
      </c>
      <c r="Q101" s="62" t="s">
        <v>128</v>
      </c>
      <c r="R101" s="62" t="s">
        <v>129</v>
      </c>
      <c r="S101" s="62" t="s">
        <v>130</v>
      </c>
      <c r="T101" s="62" t="s">
        <v>131</v>
      </c>
      <c r="U101" s="62" t="s">
        <v>131</v>
      </c>
      <c r="V101" s="63"/>
      <c r="W101" s="62" t="s">
        <v>132</v>
      </c>
      <c r="X101" s="62" t="s">
        <v>132</v>
      </c>
      <c r="Y101" s="62" t="s">
        <v>133</v>
      </c>
      <c r="Z101" s="62" t="s">
        <v>134</v>
      </c>
      <c r="AA101" s="62" t="s">
        <v>135</v>
      </c>
      <c r="AB101" s="62" t="s">
        <v>136</v>
      </c>
      <c r="AC101" s="63"/>
      <c r="AD101" s="62" t="s">
        <v>137</v>
      </c>
      <c r="AE101" s="62" t="s">
        <v>138</v>
      </c>
      <c r="AF101" s="62" t="s">
        <v>139</v>
      </c>
      <c r="AG101" s="63"/>
    </row>
    <row r="102" spans="1:36" ht="81.95" customHeight="1">
      <c r="A102" s="93"/>
      <c r="B102" s="61" t="s">
        <v>140</v>
      </c>
      <c r="C102" s="62" t="s">
        <v>118</v>
      </c>
      <c r="D102" s="63"/>
      <c r="E102" s="62" t="s">
        <v>119</v>
      </c>
      <c r="F102" s="62" t="s">
        <v>120</v>
      </c>
      <c r="G102" s="62" t="s">
        <v>97</v>
      </c>
      <c r="H102" s="63"/>
      <c r="I102" s="62" t="s">
        <v>98</v>
      </c>
      <c r="J102" s="62" t="s">
        <v>99</v>
      </c>
      <c r="K102" s="62" t="s">
        <v>100</v>
      </c>
      <c r="L102" s="62" t="s">
        <v>124</v>
      </c>
      <c r="M102" s="62" t="s">
        <v>141</v>
      </c>
      <c r="N102" s="62" t="s">
        <v>141</v>
      </c>
      <c r="O102" s="63"/>
      <c r="P102" s="62" t="s">
        <v>127</v>
      </c>
      <c r="Q102" s="62" t="s">
        <v>128</v>
      </c>
      <c r="R102" s="62" t="s">
        <v>129</v>
      </c>
      <c r="S102" s="62" t="s">
        <v>130</v>
      </c>
      <c r="T102" s="62" t="s">
        <v>106</v>
      </c>
      <c r="U102" s="62" t="s">
        <v>107</v>
      </c>
      <c r="V102" s="63"/>
      <c r="W102" s="62" t="s">
        <v>108</v>
      </c>
      <c r="X102" s="62" t="s">
        <v>132</v>
      </c>
      <c r="Y102" s="62" t="s">
        <v>133</v>
      </c>
      <c r="Z102" s="62" t="s">
        <v>134</v>
      </c>
      <c r="AA102" s="62" t="s">
        <v>135</v>
      </c>
      <c r="AB102" s="62" t="s">
        <v>136</v>
      </c>
      <c r="AC102" s="63"/>
      <c r="AD102" s="62" t="s">
        <v>137</v>
      </c>
      <c r="AE102" s="62" t="s">
        <v>138</v>
      </c>
      <c r="AF102" s="62" t="s">
        <v>139</v>
      </c>
      <c r="AG102" s="69"/>
    </row>
    <row r="103" spans="1:36">
      <c r="A103" s="94"/>
      <c r="B103" s="61" t="s">
        <v>142</v>
      </c>
      <c r="C103" s="62" t="s">
        <v>143</v>
      </c>
      <c r="D103" s="63"/>
      <c r="E103" s="62" t="s">
        <v>144</v>
      </c>
      <c r="F103" s="62" t="s">
        <v>145</v>
      </c>
      <c r="G103" s="62" t="s">
        <v>145</v>
      </c>
      <c r="H103" s="63"/>
      <c r="I103" s="62" t="s">
        <v>146</v>
      </c>
      <c r="J103" s="62" t="s">
        <v>147</v>
      </c>
      <c r="K103" s="62" t="s">
        <v>148</v>
      </c>
      <c r="L103" s="62" t="s">
        <v>149</v>
      </c>
      <c r="M103" s="62" t="s">
        <v>150</v>
      </c>
      <c r="N103" s="62" t="s">
        <v>151</v>
      </c>
      <c r="O103" s="63"/>
      <c r="P103" s="62" t="s">
        <v>152</v>
      </c>
      <c r="Q103" s="62" t="s">
        <v>153</v>
      </c>
      <c r="R103" s="62" t="s">
        <v>154</v>
      </c>
      <c r="S103" s="62" t="s">
        <v>155</v>
      </c>
      <c r="T103" s="62" t="s">
        <v>156</v>
      </c>
      <c r="U103" s="62" t="s">
        <v>156</v>
      </c>
      <c r="V103" s="63"/>
      <c r="W103" s="62" t="s">
        <v>157</v>
      </c>
      <c r="X103" s="62" t="s">
        <v>158</v>
      </c>
      <c r="Y103" s="62" t="s">
        <v>159</v>
      </c>
      <c r="Z103" s="62" t="s">
        <v>160</v>
      </c>
      <c r="AA103" s="62" t="s">
        <v>161</v>
      </c>
      <c r="AB103" s="62" t="s">
        <v>162</v>
      </c>
      <c r="AC103" s="63"/>
      <c r="AD103" s="62" t="s">
        <v>162</v>
      </c>
      <c r="AE103" s="62" t="s">
        <v>163</v>
      </c>
      <c r="AF103" s="62" t="s">
        <v>164</v>
      </c>
      <c r="AG103" s="69"/>
    </row>
    <row r="107" spans="1:36" ht="14.25">
      <c r="D107" s="64"/>
    </row>
    <row r="108" spans="1:36" ht="14.25">
      <c r="D108" s="64"/>
    </row>
    <row r="109" spans="1:36" ht="14.25">
      <c r="D109" s="64"/>
    </row>
    <row r="110" spans="1:36" ht="14.25">
      <c r="D110" s="64"/>
    </row>
    <row r="111" spans="1:36" ht="14.25">
      <c r="D111" s="64"/>
    </row>
    <row r="112" spans="1:36" ht="14.25">
      <c r="D112" s="64"/>
    </row>
    <row r="113" spans="4:4" ht="14.25">
      <c r="D113" s="64"/>
    </row>
    <row r="114" spans="4:4" ht="14.25">
      <c r="D114" s="64"/>
    </row>
  </sheetData>
  <mergeCells count="58">
    <mergeCell ref="AE24:AE25"/>
    <mergeCell ref="AF24:AF25"/>
    <mergeCell ref="AG24:AG25"/>
    <mergeCell ref="AC1:AG2"/>
    <mergeCell ref="A24:B25"/>
    <mergeCell ref="Z24:Z25"/>
    <mergeCell ref="AA24:AA25"/>
    <mergeCell ref="AB24:AB25"/>
    <mergeCell ref="AC24:AC25"/>
    <mergeCell ref="AD24:AD25"/>
    <mergeCell ref="U24:U25"/>
    <mergeCell ref="V24:V25"/>
    <mergeCell ref="W24:W25"/>
    <mergeCell ref="X24:X25"/>
    <mergeCell ref="Y24:Y25"/>
    <mergeCell ref="P24:P25"/>
    <mergeCell ref="Q24:Q25"/>
    <mergeCell ref="R24:R25"/>
    <mergeCell ref="S24:S25"/>
    <mergeCell ref="T24:T25"/>
    <mergeCell ref="K24:K25"/>
    <mergeCell ref="L24:L25"/>
    <mergeCell ref="M24:M25"/>
    <mergeCell ref="N24:N25"/>
    <mergeCell ref="O24:O25"/>
    <mergeCell ref="F24:F25"/>
    <mergeCell ref="G24:G25"/>
    <mergeCell ref="H24:H25"/>
    <mergeCell ref="I24:I25"/>
    <mergeCell ref="J24:J25"/>
    <mergeCell ref="A85:A97"/>
    <mergeCell ref="A98:A103"/>
    <mergeCell ref="C24:C25"/>
    <mergeCell ref="D24:D25"/>
    <mergeCell ref="E24:E25"/>
    <mergeCell ref="A49:B49"/>
    <mergeCell ref="A59:B59"/>
    <mergeCell ref="A70:B70"/>
    <mergeCell ref="A84:B84"/>
    <mergeCell ref="A40:A48"/>
    <mergeCell ref="A50:A58"/>
    <mergeCell ref="A60:A69"/>
    <mergeCell ref="A71:A83"/>
    <mergeCell ref="A35:B35"/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4:B4"/>
    <mergeCell ref="A26:B26"/>
    <mergeCell ref="A27:B27"/>
    <mergeCell ref="A28:B28"/>
    <mergeCell ref="A29:B29"/>
  </mergeCells>
  <phoneticPr fontId="15" type="noConversion"/>
  <printOptions horizontalCentered="1" verticalCentered="1"/>
  <pageMargins left="0.15625" right="0.196527777777778" top="0.196527777777778" bottom="0.196527777777778" header="0.51180555555555596" footer="0.51180555555555596"/>
  <pageSetup paperSize="8" scale="70" orientation="landscape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19:Q26"/>
  <sheetViews>
    <sheetView workbookViewId="0">
      <selection activeCell="H31" sqref="H31"/>
    </sheetView>
  </sheetViews>
  <sheetFormatPr defaultColWidth="9" defaultRowHeight="13.5"/>
  <sheetData>
    <row r="19" spans="9:17">
      <c r="I19" s="1">
        <v>10</v>
      </c>
      <c r="J19" s="2">
        <v>27</v>
      </c>
      <c r="K19" s="1">
        <v>18</v>
      </c>
      <c r="L19" s="2">
        <v>84</v>
      </c>
      <c r="M19" s="1">
        <v>13</v>
      </c>
      <c r="N19" s="2">
        <v>15</v>
      </c>
      <c r="O19" s="1">
        <v>18</v>
      </c>
      <c r="P19" s="2">
        <v>17</v>
      </c>
      <c r="Q19" s="1">
        <v>4</v>
      </c>
    </row>
    <row r="20" spans="9:17">
      <c r="I20" s="1">
        <v>0</v>
      </c>
      <c r="J20" s="2">
        <v>0</v>
      </c>
      <c r="K20" s="1">
        <v>14</v>
      </c>
      <c r="L20" s="2">
        <v>2</v>
      </c>
      <c r="M20" s="1">
        <v>6</v>
      </c>
      <c r="N20" s="2">
        <v>12</v>
      </c>
      <c r="O20" s="1">
        <v>0</v>
      </c>
      <c r="P20" s="2">
        <v>5</v>
      </c>
      <c r="Q20" s="1">
        <v>0</v>
      </c>
    </row>
    <row r="21" spans="9:17">
      <c r="I21" s="1">
        <v>0</v>
      </c>
      <c r="J21" s="2">
        <v>0</v>
      </c>
      <c r="K21" s="1">
        <v>0</v>
      </c>
      <c r="L21" s="2">
        <v>0</v>
      </c>
      <c r="M21" s="1">
        <v>0</v>
      </c>
      <c r="N21" s="2">
        <v>0</v>
      </c>
      <c r="O21" s="1">
        <v>0</v>
      </c>
      <c r="P21" s="2">
        <v>0</v>
      </c>
      <c r="Q21" s="1">
        <v>0</v>
      </c>
    </row>
    <row r="22" spans="9:17">
      <c r="I22" s="1">
        <v>0</v>
      </c>
      <c r="J22" s="2">
        <v>37</v>
      </c>
      <c r="K22" s="1">
        <v>0</v>
      </c>
      <c r="L22" s="2">
        <v>0</v>
      </c>
      <c r="M22" s="1">
        <v>0</v>
      </c>
      <c r="N22" s="2">
        <v>0</v>
      </c>
      <c r="O22" s="1">
        <v>0</v>
      </c>
      <c r="P22" s="2">
        <v>0</v>
      </c>
      <c r="Q22" s="1">
        <v>0</v>
      </c>
    </row>
    <row r="23" spans="9:17">
      <c r="I23" s="1">
        <v>11</v>
      </c>
      <c r="J23" s="2">
        <v>0</v>
      </c>
      <c r="K23" s="1">
        <v>12</v>
      </c>
      <c r="L23" s="2">
        <v>6</v>
      </c>
      <c r="M23" s="1">
        <v>1</v>
      </c>
      <c r="N23" s="2">
        <v>11</v>
      </c>
      <c r="O23" s="1">
        <v>25</v>
      </c>
      <c r="P23" s="2">
        <v>16</v>
      </c>
      <c r="Q23" s="1">
        <v>18</v>
      </c>
    </row>
    <row r="24" spans="9:17">
      <c r="I24" s="1">
        <v>24</v>
      </c>
      <c r="J24" s="2">
        <v>0</v>
      </c>
      <c r="K24" s="1">
        <v>26</v>
      </c>
      <c r="L24" s="2">
        <v>25</v>
      </c>
      <c r="M24" s="1">
        <v>20</v>
      </c>
      <c r="N24" s="2">
        <v>21</v>
      </c>
      <c r="O24" s="1">
        <v>0</v>
      </c>
      <c r="P24" s="2">
        <v>14</v>
      </c>
      <c r="Q24" s="1">
        <v>12</v>
      </c>
    </row>
    <row r="25" spans="9:17">
      <c r="I25" s="1">
        <v>0</v>
      </c>
      <c r="J25" s="2">
        <v>0</v>
      </c>
      <c r="K25" s="1">
        <v>0</v>
      </c>
      <c r="L25" s="2">
        <v>0</v>
      </c>
      <c r="M25" s="1">
        <v>0</v>
      </c>
      <c r="N25" s="2">
        <v>0</v>
      </c>
      <c r="O25" s="1">
        <v>0</v>
      </c>
      <c r="P25" s="2">
        <v>0</v>
      </c>
      <c r="Q25" s="1">
        <v>0</v>
      </c>
    </row>
    <row r="26" spans="9:17">
      <c r="I26" s="1">
        <v>14</v>
      </c>
      <c r="J26" s="2">
        <v>14</v>
      </c>
      <c r="K26" s="1">
        <v>14</v>
      </c>
      <c r="L26" s="2">
        <v>0</v>
      </c>
      <c r="M26" s="1">
        <v>14</v>
      </c>
      <c r="N26" s="2">
        <v>14</v>
      </c>
      <c r="O26" s="1">
        <v>14</v>
      </c>
      <c r="P26" s="2">
        <v>14</v>
      </c>
      <c r="Q26" s="1">
        <v>14</v>
      </c>
    </row>
  </sheetData>
  <phoneticPr fontId="15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A线</vt:lpstr>
      <vt:lpstr>Sheet3</vt:lpstr>
      <vt:lpstr>A线!Print_Area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篠田学</dc:creator>
  <cp:lastModifiedBy>222 zhang</cp:lastModifiedBy>
  <cp:lastPrinted>2016-12-21T03:17:00Z</cp:lastPrinted>
  <dcterms:created xsi:type="dcterms:W3CDTF">2005-08-26T02:00:00Z</dcterms:created>
  <dcterms:modified xsi:type="dcterms:W3CDTF">2026-03-14T05:43:42Z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KSOReadingLayout">
    <vt:bool>true</vt:bool>
  </property>
  <property fmtid="{D5CDD505-2E9C-101B-9397-08002B2CF9AE}" pid="4" name="ICV">
    <vt:lpwstr>8CD39BD8C7764022B2868B285DA03ABC_13</vt:lpwstr>
  </property>
</Properties>
</file>