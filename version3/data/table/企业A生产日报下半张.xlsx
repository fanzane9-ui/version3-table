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table\version3\version3\data\table\"/>
    </mc:Choice>
  </mc:AlternateContent>
  <xr:revisionPtr revIDLastSave="0" documentId="13_ncr:1_{E8387B9D-E394-448F-91FC-3EAC9BDBD9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6" i="1" l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H26" i="1"/>
  <c r="D26" i="1"/>
  <c r="K25" i="1"/>
  <c r="L25" i="1" s="1"/>
  <c r="J25" i="1"/>
  <c r="I25" i="1"/>
  <c r="D25" i="1"/>
  <c r="K24" i="1"/>
  <c r="L24" i="1" s="1"/>
  <c r="J24" i="1"/>
  <c r="G24" i="1"/>
  <c r="I24" i="1" s="1"/>
  <c r="D24" i="1"/>
  <c r="K23" i="1"/>
  <c r="L23" i="1" s="1"/>
  <c r="J23" i="1"/>
  <c r="G23" i="1"/>
  <c r="I23" i="1" s="1"/>
  <c r="D23" i="1"/>
  <c r="L22" i="1"/>
  <c r="K22" i="1"/>
  <c r="J22" i="1"/>
  <c r="G22" i="1"/>
  <c r="I22" i="1" s="1"/>
  <c r="D22" i="1"/>
  <c r="K21" i="1"/>
  <c r="L21" i="1" s="1"/>
  <c r="J21" i="1"/>
  <c r="G21" i="1"/>
  <c r="I21" i="1" s="1"/>
  <c r="D21" i="1"/>
  <c r="K20" i="1"/>
  <c r="L20" i="1" s="1"/>
  <c r="J20" i="1"/>
  <c r="I20" i="1"/>
  <c r="G20" i="1"/>
  <c r="D20" i="1"/>
  <c r="L19" i="1"/>
  <c r="K19" i="1"/>
  <c r="J19" i="1"/>
  <c r="G19" i="1"/>
  <c r="I19" i="1" s="1"/>
  <c r="D19" i="1"/>
  <c r="K18" i="1"/>
  <c r="L18" i="1" s="1"/>
  <c r="J18" i="1"/>
  <c r="G18" i="1"/>
  <c r="I18" i="1" s="1"/>
  <c r="D18" i="1"/>
  <c r="K17" i="1"/>
  <c r="L17" i="1" s="1"/>
  <c r="J17" i="1"/>
  <c r="I17" i="1"/>
  <c r="G17" i="1"/>
  <c r="D17" i="1"/>
  <c r="K16" i="1"/>
  <c r="L16" i="1" s="1"/>
  <c r="J16" i="1"/>
  <c r="G16" i="1"/>
  <c r="I16" i="1" s="1"/>
  <c r="D16" i="1"/>
  <c r="K15" i="1"/>
  <c r="L15" i="1" s="1"/>
  <c r="J15" i="1"/>
  <c r="G15" i="1"/>
  <c r="I15" i="1" s="1"/>
  <c r="D15" i="1"/>
  <c r="K14" i="1"/>
  <c r="L14" i="1" s="1"/>
  <c r="J14" i="1"/>
  <c r="G14" i="1"/>
  <c r="I14" i="1" s="1"/>
  <c r="D14" i="1"/>
  <c r="K13" i="1"/>
  <c r="L13" i="1" s="1"/>
  <c r="J13" i="1"/>
  <c r="G13" i="1"/>
  <c r="I13" i="1" s="1"/>
  <c r="D13" i="1"/>
  <c r="L12" i="1"/>
  <c r="K12" i="1"/>
  <c r="J12" i="1"/>
  <c r="G12" i="1"/>
  <c r="I12" i="1" s="1"/>
  <c r="D12" i="1"/>
  <c r="K11" i="1"/>
  <c r="L11" i="1" s="1"/>
  <c r="J11" i="1"/>
  <c r="G11" i="1"/>
  <c r="I11" i="1" s="1"/>
  <c r="D11" i="1"/>
  <c r="K10" i="1"/>
  <c r="L10" i="1" s="1"/>
  <c r="J10" i="1"/>
  <c r="G10" i="1"/>
  <c r="I10" i="1" s="1"/>
  <c r="D10" i="1"/>
  <c r="L9" i="1"/>
  <c r="K9" i="1"/>
  <c r="J9" i="1"/>
  <c r="G9" i="1"/>
  <c r="I9" i="1" s="1"/>
  <c r="D9" i="1"/>
  <c r="K8" i="1"/>
  <c r="L8" i="1" s="1"/>
  <c r="J8" i="1"/>
  <c r="G8" i="1"/>
  <c r="I8" i="1" s="1"/>
  <c r="D8" i="1"/>
  <c r="K7" i="1"/>
  <c r="K26" i="1" s="1"/>
  <c r="L26" i="1" s="1"/>
  <c r="J7" i="1"/>
  <c r="I7" i="1"/>
  <c r="G7" i="1"/>
  <c r="D7" i="1"/>
  <c r="K6" i="1"/>
  <c r="L6" i="1" s="1"/>
  <c r="J6" i="1"/>
  <c r="G6" i="1"/>
  <c r="I6" i="1" s="1"/>
  <c r="D6" i="1"/>
  <c r="K5" i="1"/>
  <c r="L5" i="1" s="1"/>
  <c r="J5" i="1"/>
  <c r="G5" i="1"/>
  <c r="I5" i="1" s="1"/>
  <c r="D5" i="1"/>
  <c r="S2" i="1"/>
  <c r="I26" i="1" l="1"/>
  <c r="L7" i="1"/>
  <c r="G26" i="1"/>
</calcChain>
</file>

<file path=xl/sharedStrings.xml><?xml version="1.0" encoding="utf-8"?>
<sst xmlns="http://schemas.openxmlformats.org/spreadsheetml/2006/main" count="79" uniqueCount="76">
  <si>
    <t>机台号</t>
  </si>
  <si>
    <t>产品编码</t>
  </si>
  <si>
    <t>产品型号名称</t>
  </si>
  <si>
    <t>类别</t>
  </si>
  <si>
    <t>班次：A班/夜班</t>
  </si>
  <si>
    <t>领班：小刘</t>
  </si>
  <si>
    <t>操作工</t>
  </si>
  <si>
    <t>开机台数</t>
  </si>
  <si>
    <t>换模</t>
  </si>
  <si>
    <t>试模</t>
  </si>
  <si>
    <t>试料</t>
  </si>
  <si>
    <t>稼动率</t>
  </si>
  <si>
    <t>A班（夜班）刘和平</t>
  </si>
  <si>
    <t>12人</t>
  </si>
  <si>
    <t>17台</t>
  </si>
  <si>
    <t>0台</t>
  </si>
  <si>
    <t>产品
周期s</t>
  </si>
  <si>
    <t>产品
型腔数</t>
  </si>
  <si>
    <t>理论
产能</t>
  </si>
  <si>
    <t>实际良品
产能</t>
  </si>
  <si>
    <t>产出率</t>
  </si>
  <si>
    <t>时效
产能</t>
  </si>
  <si>
    <t>不良数</t>
  </si>
  <si>
    <t>不良率</t>
  </si>
  <si>
    <t>产品缺陷种类</t>
  </si>
  <si>
    <t>工艺设备异常耗时（h)</t>
  </si>
  <si>
    <t>工艺调试</t>
  </si>
  <si>
    <t>黑点</t>
  </si>
  <si>
    <t>料花</t>
  </si>
  <si>
    <t>脏污</t>
  </si>
  <si>
    <t>拉丝</t>
  </si>
  <si>
    <t>缩水</t>
  </si>
  <si>
    <t>变形</t>
  </si>
  <si>
    <t>气泡</t>
  </si>
  <si>
    <t>流痕</t>
  </si>
  <si>
    <t>毛边</t>
  </si>
  <si>
    <t>拉模</t>
  </si>
  <si>
    <t>缺胶</t>
  </si>
  <si>
    <t>白点</t>
  </si>
  <si>
    <t>混料</t>
  </si>
  <si>
    <t>划伤</t>
  </si>
  <si>
    <t>发雾</t>
  </si>
  <si>
    <t>其他</t>
  </si>
  <si>
    <t xml:space="preserve">换模
</t>
  </si>
  <si>
    <t xml:space="preserve">工艺
调试
</t>
  </si>
  <si>
    <t xml:space="preserve">换料加温
</t>
  </si>
  <si>
    <t xml:space="preserve">模具
维修
</t>
  </si>
  <si>
    <t>设备
维修</t>
  </si>
  <si>
    <t xml:space="preserve">其它
异常
</t>
  </si>
  <si>
    <t>交班异常
注意事项</t>
  </si>
  <si>
    <t>作业员</t>
  </si>
  <si>
    <t>Q尾灯装饰盖</t>
  </si>
  <si>
    <t>5：12开机</t>
  </si>
  <si>
    <t>Q尾灯罩</t>
  </si>
  <si>
    <t>21:00机器故障停机</t>
  </si>
  <si>
    <t>Q后尾灯底壳</t>
  </si>
  <si>
    <t>F大灯导光条（新）</t>
  </si>
  <si>
    <t>N90大灯装饰框</t>
  </si>
  <si>
    <t>24D13大灯装饰框</t>
  </si>
  <si>
    <t>24D13大灯底壳</t>
  </si>
  <si>
    <t>24D13尾灯罩</t>
  </si>
  <si>
    <t>24D13尾灯底壳</t>
  </si>
  <si>
    <t>机器频繁报警24:00停机</t>
  </si>
  <si>
    <t>24D13尾灯装饰框</t>
  </si>
  <si>
    <t>24D13尾灯转向厚壁件（左）</t>
  </si>
  <si>
    <t>24D13尾灯转向厚壁件（右）</t>
  </si>
  <si>
    <t>24D13尾灯厚壁件</t>
  </si>
  <si>
    <t>A+前转向灯厚壁件-D</t>
  </si>
  <si>
    <t>M系前左转向灯厚壁件</t>
  </si>
  <si>
    <t>M系前右转向灯厚壁件</t>
  </si>
  <si>
    <t>M系前左转向灯罩</t>
  </si>
  <si>
    <t>M系前右转向灯罩</t>
  </si>
  <si>
    <t>221404019011</t>
  </si>
  <si>
    <t>Q尾灯罩（超声波）</t>
  </si>
  <si>
    <t>21:00停机故障停机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</si>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</sst>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;[Red]0"/>
    <numFmt numFmtId="178" formatCode="0_ "/>
  </numFmts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 wrapText="1"/>
    </xf>
    <xf numFmtId="178" fontId="0" fillId="3" borderId="6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>
      <alignment vertical="center"/>
    </xf>
    <xf numFmtId="178" fontId="5" fillId="0" borderId="6" xfId="0" applyNumberFormat="1" applyFont="1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178" fontId="6" fillId="0" borderId="6" xfId="0" applyNumberFormat="1" applyFont="1" applyBorder="1" applyAlignment="1">
      <alignment horizontal="center" vertical="center" wrapText="1"/>
    </xf>
    <xf numFmtId="178" fontId="5" fillId="0" borderId="6" xfId="0" applyNumberFormat="1" applyFont="1" applyBorder="1" applyAlignment="1">
      <alignment horizontal="center" vertical="top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8" fontId="7" fillId="3" borderId="6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"/>
  <sheetViews>
    <sheetView tabSelected="1" workbookViewId="0">
      <selection activeCell="L14" sqref="L14"/>
    </sheetView>
  </sheetViews>
  <sheetFormatPr defaultColWidth="9" defaultRowHeight="13.5" x14ac:dyDescent="0.15"/>
  <sheetData>
    <row r="1" spans="1:38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5"/>
      <c r="H1" s="5" t="s">
        <v>5</v>
      </c>
      <c r="I1" s="6"/>
      <c r="J1" s="7" t="s">
        <v>6</v>
      </c>
      <c r="K1" s="8"/>
      <c r="L1" s="9" t="s">
        <v>7</v>
      </c>
      <c r="M1" s="10" t="s">
        <v>8</v>
      </c>
      <c r="N1" s="11"/>
      <c r="O1" s="5" t="s">
        <v>9</v>
      </c>
      <c r="P1" s="5"/>
      <c r="Q1" s="5" t="s">
        <v>10</v>
      </c>
      <c r="R1" s="5"/>
      <c r="S1" s="5" t="s">
        <v>11</v>
      </c>
      <c r="T1" s="5"/>
      <c r="U1" s="5"/>
      <c r="V1" s="12" t="s">
        <v>12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3"/>
      <c r="AK1" s="13"/>
      <c r="AL1" s="12"/>
    </row>
    <row r="2" spans="1:38" x14ac:dyDescent="0.15">
      <c r="A2" s="14"/>
      <c r="B2" s="2"/>
      <c r="C2" s="15"/>
      <c r="D2" s="4"/>
      <c r="E2" s="16"/>
      <c r="F2" s="16"/>
      <c r="G2" s="16"/>
      <c r="H2" s="16"/>
      <c r="I2" s="17"/>
      <c r="J2" s="18" t="s">
        <v>13</v>
      </c>
      <c r="K2" s="19"/>
      <c r="L2" s="20" t="s">
        <v>14</v>
      </c>
      <c r="M2" s="14" t="s">
        <v>15</v>
      </c>
      <c r="N2" s="14"/>
      <c r="O2" s="14" t="s">
        <v>15</v>
      </c>
      <c r="P2" s="14"/>
      <c r="Q2" s="16"/>
      <c r="R2" s="16"/>
      <c r="S2" s="16">
        <f>(17/50)*100%</f>
        <v>0.34</v>
      </c>
      <c r="T2" s="16"/>
      <c r="U2" s="16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2"/>
      <c r="AK2" s="22"/>
      <c r="AL2" s="21"/>
    </row>
    <row r="3" spans="1:38" x14ac:dyDescent="0.15">
      <c r="A3" s="14"/>
      <c r="B3" s="2"/>
      <c r="C3" s="15"/>
      <c r="D3" s="4"/>
      <c r="E3" s="23" t="s">
        <v>16</v>
      </c>
      <c r="F3" s="23" t="s">
        <v>17</v>
      </c>
      <c r="G3" s="24" t="s">
        <v>18</v>
      </c>
      <c r="H3" s="23" t="s">
        <v>19</v>
      </c>
      <c r="I3" s="17" t="s">
        <v>20</v>
      </c>
      <c r="J3" s="25" t="s">
        <v>21</v>
      </c>
      <c r="K3" s="26" t="s">
        <v>22</v>
      </c>
      <c r="L3" s="27" t="s">
        <v>23</v>
      </c>
      <c r="N3" s="28"/>
      <c r="O3" s="28"/>
      <c r="P3" s="28"/>
      <c r="Q3" s="28"/>
      <c r="R3" s="28"/>
      <c r="S3" s="28"/>
      <c r="T3" s="28" t="s">
        <v>24</v>
      </c>
      <c r="U3" s="28"/>
      <c r="V3" s="28"/>
      <c r="W3" s="28"/>
      <c r="X3" s="28"/>
      <c r="Y3" s="28"/>
      <c r="Z3" s="28"/>
      <c r="AA3" s="28"/>
      <c r="AB3" s="28"/>
      <c r="AC3" s="29"/>
      <c r="AD3" s="30" t="s">
        <v>25</v>
      </c>
      <c r="AE3" s="30"/>
      <c r="AF3" s="30"/>
      <c r="AG3" s="30"/>
      <c r="AH3" s="30"/>
      <c r="AI3" s="30"/>
      <c r="AJ3" s="31"/>
      <c r="AK3" s="32"/>
      <c r="AL3" s="20"/>
    </row>
    <row r="4" spans="1:38" ht="33.75" x14ac:dyDescent="0.15">
      <c r="A4" s="33"/>
      <c r="B4" s="11"/>
      <c r="C4" s="15"/>
      <c r="D4" s="3"/>
      <c r="E4" s="23"/>
      <c r="F4" s="23"/>
      <c r="G4" s="1"/>
      <c r="H4" s="23"/>
      <c r="I4" s="17"/>
      <c r="J4" s="25"/>
      <c r="K4" s="26"/>
      <c r="L4" s="27"/>
      <c r="M4" s="34" t="s">
        <v>26</v>
      </c>
      <c r="N4" s="35" t="s">
        <v>27</v>
      </c>
      <c r="O4" s="35" t="s">
        <v>28</v>
      </c>
      <c r="P4" s="35" t="s">
        <v>29</v>
      </c>
      <c r="Q4" s="35" t="s">
        <v>30</v>
      </c>
      <c r="R4" s="35" t="s">
        <v>31</v>
      </c>
      <c r="S4" s="35" t="s">
        <v>32</v>
      </c>
      <c r="T4" s="35" t="s">
        <v>33</v>
      </c>
      <c r="U4" s="35" t="s">
        <v>34</v>
      </c>
      <c r="V4" s="35" t="s">
        <v>35</v>
      </c>
      <c r="W4" s="35" t="s">
        <v>36</v>
      </c>
      <c r="X4" s="35" t="s">
        <v>37</v>
      </c>
      <c r="Y4" s="35" t="s">
        <v>38</v>
      </c>
      <c r="Z4" s="35" t="s">
        <v>39</v>
      </c>
      <c r="AA4" s="35" t="s">
        <v>40</v>
      </c>
      <c r="AB4" s="35" t="s">
        <v>41</v>
      </c>
      <c r="AC4" s="35" t="s">
        <v>42</v>
      </c>
      <c r="AD4" s="36" t="s">
        <v>43</v>
      </c>
      <c r="AE4" s="34" t="s">
        <v>44</v>
      </c>
      <c r="AF4" s="34" t="s">
        <v>45</v>
      </c>
      <c r="AG4" s="34" t="s">
        <v>46</v>
      </c>
      <c r="AH4" s="37" t="s">
        <v>47</v>
      </c>
      <c r="AI4" s="34" t="s">
        <v>48</v>
      </c>
      <c r="AJ4" s="38" t="s">
        <v>49</v>
      </c>
      <c r="AK4" s="39"/>
      <c r="AL4" s="20" t="s">
        <v>50</v>
      </c>
    </row>
    <row r="5" spans="1:38" ht="24" x14ac:dyDescent="0.15">
      <c r="A5" s="40">
        <v>1</v>
      </c>
      <c r="B5" s="40">
        <v>3332001578</v>
      </c>
      <c r="C5" s="41" t="s">
        <v>51</v>
      </c>
      <c r="D5" s="41" t="str">
        <f>IFERROR(VLOOKUP(B5,#REF!,5,0),"")</f>
        <v/>
      </c>
      <c r="E5" s="41">
        <v>17</v>
      </c>
      <c r="F5" s="41">
        <v>4</v>
      </c>
      <c r="G5" s="41">
        <f>ROUND(60*60/E5*F5*3,0)</f>
        <v>2541</v>
      </c>
      <c r="H5" s="42">
        <v>2419</v>
      </c>
      <c r="I5" s="43">
        <f t="shared" ref="I5:I26" si="0">H5/G5</f>
        <v>0.95198740653286107</v>
      </c>
      <c r="J5" s="44">
        <f>H5/3</f>
        <v>806.33333333333337</v>
      </c>
      <c r="K5" s="45">
        <f t="shared" ref="K5:K25" si="1">SUM(M5:AC5)</f>
        <v>12</v>
      </c>
      <c r="L5" s="46">
        <f t="shared" ref="L5:L26" si="2">K5/(H5+K5)</f>
        <v>4.9362402303578775E-3</v>
      </c>
      <c r="M5" s="41">
        <v>12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7" t="s">
        <v>52</v>
      </c>
      <c r="AK5" s="48"/>
      <c r="AL5" s="40"/>
    </row>
    <row r="6" spans="1:38" x14ac:dyDescent="0.15">
      <c r="A6" s="40">
        <v>3</v>
      </c>
      <c r="B6" s="40">
        <v>3332001577</v>
      </c>
      <c r="C6" s="41" t="s">
        <v>53</v>
      </c>
      <c r="D6" s="41" t="str">
        <f>IFERROR(VLOOKUP(B6,#REF!,5,0),"")</f>
        <v/>
      </c>
      <c r="E6" s="41">
        <v>6</v>
      </c>
      <c r="F6" s="41">
        <v>2</v>
      </c>
      <c r="G6" s="41">
        <f>ROUND(60*60/E6*F6*1,0)</f>
        <v>1200</v>
      </c>
      <c r="H6" s="42">
        <v>1126</v>
      </c>
      <c r="I6" s="43">
        <f t="shared" si="0"/>
        <v>0.93833333333333335</v>
      </c>
      <c r="J6" s="44">
        <f>H6/1</f>
        <v>1126</v>
      </c>
      <c r="K6" s="45">
        <f t="shared" si="1"/>
        <v>0</v>
      </c>
      <c r="L6" s="46">
        <f t="shared" si="2"/>
        <v>0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7" t="s">
        <v>54</v>
      </c>
      <c r="AK6" s="48"/>
      <c r="AL6" s="40"/>
    </row>
    <row r="7" spans="1:38" ht="24" x14ac:dyDescent="0.15">
      <c r="A7" s="40">
        <v>6</v>
      </c>
      <c r="B7" s="40">
        <v>3332001586</v>
      </c>
      <c r="C7" s="41" t="s">
        <v>55</v>
      </c>
      <c r="D7" s="41" t="str">
        <f>IFERROR(VLOOKUP(B7,#REF!,5,0),"")</f>
        <v/>
      </c>
      <c r="E7" s="41">
        <v>12</v>
      </c>
      <c r="F7" s="41">
        <v>2</v>
      </c>
      <c r="G7" s="41">
        <f t="shared" ref="G7:G13" si="3">ROUND(60*60/E7*F7*12,0)</f>
        <v>7200</v>
      </c>
      <c r="H7" s="42">
        <v>7092</v>
      </c>
      <c r="I7" s="43">
        <f t="shared" si="0"/>
        <v>0.98499999999999999</v>
      </c>
      <c r="J7" s="44">
        <f t="shared" ref="J7:J13" si="4">H7/12</f>
        <v>591</v>
      </c>
      <c r="K7" s="45">
        <f t="shared" si="1"/>
        <v>0</v>
      </c>
      <c r="L7" s="46">
        <f t="shared" si="2"/>
        <v>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7"/>
      <c r="AK7" s="48"/>
      <c r="AL7" s="40"/>
    </row>
    <row r="8" spans="1:38" ht="24" x14ac:dyDescent="0.15">
      <c r="A8" s="49">
        <v>18</v>
      </c>
      <c r="B8" s="50">
        <v>3332000807</v>
      </c>
      <c r="C8" s="41" t="s">
        <v>56</v>
      </c>
      <c r="D8" s="41" t="str">
        <f>IFERROR(VLOOKUP(B8,#REF!,5,0),"")</f>
        <v/>
      </c>
      <c r="E8" s="41">
        <v>14</v>
      </c>
      <c r="F8" s="41">
        <v>2</v>
      </c>
      <c r="G8" s="41">
        <f t="shared" si="3"/>
        <v>6171</v>
      </c>
      <c r="H8" s="42">
        <v>5962</v>
      </c>
      <c r="I8" s="43">
        <f t="shared" si="0"/>
        <v>0.96613190730837795</v>
      </c>
      <c r="J8" s="44">
        <f t="shared" si="4"/>
        <v>496.83333333333331</v>
      </c>
      <c r="K8" s="45">
        <f t="shared" si="1"/>
        <v>41</v>
      </c>
      <c r="L8" s="46">
        <f t="shared" si="2"/>
        <v>6.8299183741462599E-3</v>
      </c>
      <c r="M8" s="41"/>
      <c r="N8" s="41">
        <v>2</v>
      </c>
      <c r="O8" s="41">
        <v>9</v>
      </c>
      <c r="P8" s="41"/>
      <c r="Q8" s="41"/>
      <c r="R8" s="41"/>
      <c r="S8" s="41"/>
      <c r="T8" s="41">
        <v>25</v>
      </c>
      <c r="U8" s="41"/>
      <c r="V8" s="41"/>
      <c r="W8" s="41"/>
      <c r="X8" s="41"/>
      <c r="Y8" s="41"/>
      <c r="Z8" s="41"/>
      <c r="AA8" s="41">
        <v>5</v>
      </c>
      <c r="AB8" s="41"/>
      <c r="AC8" s="41"/>
      <c r="AD8" s="41"/>
      <c r="AE8" s="41"/>
      <c r="AF8" s="41"/>
      <c r="AG8" s="41"/>
      <c r="AH8" s="41"/>
      <c r="AI8" s="41"/>
      <c r="AJ8" s="47"/>
      <c r="AK8" s="48"/>
      <c r="AL8" s="40"/>
    </row>
    <row r="9" spans="1:38" ht="24" x14ac:dyDescent="0.15">
      <c r="A9" s="51">
        <v>19</v>
      </c>
      <c r="B9" s="40">
        <v>3332000803</v>
      </c>
      <c r="C9" s="52" t="s">
        <v>57</v>
      </c>
      <c r="D9" s="41" t="str">
        <f>IFERROR(VLOOKUP(B9,#REF!,5,0),"")</f>
        <v/>
      </c>
      <c r="E9" s="41">
        <v>12</v>
      </c>
      <c r="F9" s="41">
        <v>2</v>
      </c>
      <c r="G9" s="41">
        <f t="shared" si="3"/>
        <v>7200</v>
      </c>
      <c r="H9" s="42">
        <v>6826</v>
      </c>
      <c r="I9" s="43">
        <f t="shared" si="0"/>
        <v>0.94805555555555554</v>
      </c>
      <c r="J9" s="44">
        <f t="shared" si="4"/>
        <v>568.83333333333337</v>
      </c>
      <c r="K9" s="45">
        <f t="shared" si="1"/>
        <v>0</v>
      </c>
      <c r="L9" s="46">
        <f t="shared" si="2"/>
        <v>0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7"/>
      <c r="AK9" s="48"/>
      <c r="AL9" s="40"/>
    </row>
    <row r="10" spans="1:38" ht="24" x14ac:dyDescent="0.15">
      <c r="A10" s="40">
        <v>20</v>
      </c>
      <c r="B10" s="50">
        <v>3332000803</v>
      </c>
      <c r="C10" s="41" t="s">
        <v>57</v>
      </c>
      <c r="D10" s="41" t="str">
        <f>IFERROR(VLOOKUP(B10,#REF!,5,0),"")</f>
        <v/>
      </c>
      <c r="E10" s="41">
        <v>54</v>
      </c>
      <c r="F10" s="41">
        <v>1</v>
      </c>
      <c r="G10" s="41">
        <f t="shared" si="3"/>
        <v>800</v>
      </c>
      <c r="H10" s="42">
        <v>784</v>
      </c>
      <c r="I10" s="43">
        <f t="shared" si="0"/>
        <v>0.98</v>
      </c>
      <c r="J10" s="44">
        <f t="shared" si="4"/>
        <v>65.333333333333329</v>
      </c>
      <c r="K10" s="45">
        <f t="shared" si="1"/>
        <v>0</v>
      </c>
      <c r="L10" s="46">
        <f t="shared" si="2"/>
        <v>0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7"/>
      <c r="AK10" s="48"/>
      <c r="AL10" s="40"/>
    </row>
    <row r="11" spans="1:38" ht="24" x14ac:dyDescent="0.15">
      <c r="A11" s="53">
        <v>22</v>
      </c>
      <c r="B11" s="40">
        <v>3332002728</v>
      </c>
      <c r="C11" s="52" t="s">
        <v>58</v>
      </c>
      <c r="D11" s="41" t="str">
        <f>IFERROR(VLOOKUP(B11,#REF!,5,0),"")</f>
        <v/>
      </c>
      <c r="E11" s="41">
        <v>12</v>
      </c>
      <c r="F11" s="41">
        <v>2</v>
      </c>
      <c r="G11" s="41">
        <f t="shared" si="3"/>
        <v>7200</v>
      </c>
      <c r="H11" s="42">
        <v>6398</v>
      </c>
      <c r="I11" s="43">
        <f t="shared" si="0"/>
        <v>0.88861111111111113</v>
      </c>
      <c r="J11" s="44">
        <f t="shared" si="4"/>
        <v>533.16666666666663</v>
      </c>
      <c r="K11" s="45">
        <f t="shared" si="1"/>
        <v>24</v>
      </c>
      <c r="L11" s="46">
        <f t="shared" si="2"/>
        <v>3.737153534724385E-3</v>
      </c>
      <c r="M11" s="41"/>
      <c r="N11" s="41"/>
      <c r="O11" s="41">
        <v>24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7"/>
      <c r="AK11" s="48"/>
      <c r="AL11" s="40"/>
    </row>
    <row r="12" spans="1:38" ht="24" x14ac:dyDescent="0.15">
      <c r="A12" s="53">
        <v>24</v>
      </c>
      <c r="B12" s="40">
        <v>3332002729</v>
      </c>
      <c r="C12" s="52" t="s">
        <v>59</v>
      </c>
      <c r="D12" s="41" t="str">
        <f>IFERROR(VLOOKUP(B12,#REF!,5,0),"")</f>
        <v/>
      </c>
      <c r="E12" s="41">
        <v>9</v>
      </c>
      <c r="F12" s="41">
        <v>2</v>
      </c>
      <c r="G12" s="41">
        <f t="shared" si="3"/>
        <v>9600</v>
      </c>
      <c r="H12" s="42">
        <v>9396</v>
      </c>
      <c r="I12" s="43">
        <f t="shared" si="0"/>
        <v>0.97875000000000001</v>
      </c>
      <c r="J12" s="44">
        <f t="shared" si="4"/>
        <v>783</v>
      </c>
      <c r="K12" s="45">
        <f t="shared" si="1"/>
        <v>0</v>
      </c>
      <c r="L12" s="46">
        <f t="shared" si="2"/>
        <v>0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7"/>
      <c r="AK12" s="48"/>
      <c r="AL12" s="40"/>
    </row>
    <row r="13" spans="1:38" ht="24" x14ac:dyDescent="0.15">
      <c r="A13" s="53">
        <v>25</v>
      </c>
      <c r="B13" s="40">
        <v>3332002730</v>
      </c>
      <c r="C13" s="52" t="s">
        <v>60</v>
      </c>
      <c r="D13" s="41" t="str">
        <f>IFERROR(VLOOKUP(B13,#REF!,5,0),"")</f>
        <v/>
      </c>
      <c r="E13" s="41">
        <v>23</v>
      </c>
      <c r="F13" s="41">
        <v>2</v>
      </c>
      <c r="G13" s="41">
        <f t="shared" si="3"/>
        <v>3757</v>
      </c>
      <c r="H13" s="42">
        <v>3278</v>
      </c>
      <c r="I13" s="43">
        <f t="shared" si="0"/>
        <v>0.872504657971786</v>
      </c>
      <c r="J13" s="44">
        <f t="shared" si="4"/>
        <v>273.16666666666669</v>
      </c>
      <c r="K13" s="45">
        <f t="shared" si="1"/>
        <v>48</v>
      </c>
      <c r="L13" s="46">
        <f t="shared" si="2"/>
        <v>1.4431749849669273E-2</v>
      </c>
      <c r="M13" s="41"/>
      <c r="N13" s="41">
        <v>14</v>
      </c>
      <c r="O13" s="41">
        <v>34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7"/>
      <c r="AK13" s="48"/>
      <c r="AL13" s="40"/>
    </row>
    <row r="14" spans="1:38" ht="24" x14ac:dyDescent="0.15">
      <c r="A14" s="53">
        <v>26</v>
      </c>
      <c r="B14" s="40">
        <v>3332002735</v>
      </c>
      <c r="C14" s="52" t="s">
        <v>61</v>
      </c>
      <c r="D14" s="41" t="str">
        <f>IFERROR(VLOOKUP(B14,#REF!,5,0),"")</f>
        <v/>
      </c>
      <c r="E14" s="41">
        <v>54</v>
      </c>
      <c r="F14" s="41">
        <v>2</v>
      </c>
      <c r="G14" s="41">
        <f>ROUND(60*60/E14*F14*4,0)</f>
        <v>533</v>
      </c>
      <c r="H14" s="42">
        <v>498</v>
      </c>
      <c r="I14" s="43">
        <f t="shared" si="0"/>
        <v>0.93433395872420266</v>
      </c>
      <c r="J14" s="44">
        <f>H14/4</f>
        <v>124.5</v>
      </c>
      <c r="K14" s="45">
        <f t="shared" si="1"/>
        <v>0</v>
      </c>
      <c r="L14" s="46">
        <f t="shared" si="2"/>
        <v>0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7" t="s">
        <v>62</v>
      </c>
      <c r="AK14" s="48"/>
      <c r="AL14" s="40"/>
    </row>
    <row r="15" spans="1:38" ht="24" x14ac:dyDescent="0.15">
      <c r="A15" s="40">
        <v>27</v>
      </c>
      <c r="B15" s="50">
        <v>3332000803</v>
      </c>
      <c r="C15" s="41" t="s">
        <v>57</v>
      </c>
      <c r="D15" s="41" t="str">
        <f>IFERROR(VLOOKUP(B15,#REF!,5,0),"")</f>
        <v/>
      </c>
      <c r="E15" s="41">
        <v>21</v>
      </c>
      <c r="F15" s="41">
        <v>2</v>
      </c>
      <c r="G15" s="41">
        <f t="shared" ref="G15:G24" si="5">ROUND(60*60/E15*F15*12,0)</f>
        <v>4114</v>
      </c>
      <c r="H15" s="42">
        <v>3816</v>
      </c>
      <c r="I15" s="43">
        <f t="shared" si="0"/>
        <v>0.92756441419543023</v>
      </c>
      <c r="J15" s="44">
        <f t="shared" ref="J15:J24" si="6">H15/12</f>
        <v>318</v>
      </c>
      <c r="K15" s="45">
        <f t="shared" si="1"/>
        <v>35</v>
      </c>
      <c r="L15" s="46">
        <f t="shared" si="2"/>
        <v>9.0885484289794857E-3</v>
      </c>
      <c r="M15" s="41"/>
      <c r="N15" s="41"/>
      <c r="O15" s="41">
        <v>18</v>
      </c>
      <c r="P15" s="41">
        <v>17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7"/>
      <c r="AK15" s="48"/>
      <c r="AL15" s="40"/>
    </row>
    <row r="16" spans="1:38" ht="24" x14ac:dyDescent="0.15">
      <c r="A16" s="40">
        <v>30</v>
      </c>
      <c r="B16" s="50">
        <v>3332002731</v>
      </c>
      <c r="C16" s="41" t="s">
        <v>63</v>
      </c>
      <c r="D16" s="41" t="str">
        <f>IFERROR(VLOOKUP(B16,#REF!,5,0),"")</f>
        <v/>
      </c>
      <c r="E16" s="41">
        <v>54</v>
      </c>
      <c r="F16" s="41">
        <v>2</v>
      </c>
      <c r="G16" s="41">
        <f t="shared" si="5"/>
        <v>1600</v>
      </c>
      <c r="H16" s="42">
        <v>1300</v>
      </c>
      <c r="I16" s="43">
        <f t="shared" si="0"/>
        <v>0.8125</v>
      </c>
      <c r="J16" s="44">
        <f t="shared" si="6"/>
        <v>108.33333333333333</v>
      </c>
      <c r="K16" s="45">
        <f t="shared" si="1"/>
        <v>34</v>
      </c>
      <c r="L16" s="46">
        <f t="shared" si="2"/>
        <v>2.5487256371814093E-2</v>
      </c>
      <c r="M16" s="41">
        <v>27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>
        <v>7</v>
      </c>
      <c r="AB16" s="41"/>
      <c r="AC16" s="41"/>
      <c r="AD16" s="41"/>
      <c r="AE16" s="41"/>
      <c r="AF16" s="41"/>
      <c r="AG16" s="41"/>
      <c r="AH16" s="41"/>
      <c r="AI16" s="41"/>
      <c r="AJ16" s="47"/>
      <c r="AK16" s="48"/>
      <c r="AL16" s="40"/>
    </row>
    <row r="17" spans="1:38" ht="36" x14ac:dyDescent="0.15">
      <c r="A17" s="54">
        <v>37</v>
      </c>
      <c r="B17" s="40">
        <v>3332002733</v>
      </c>
      <c r="C17" s="41" t="s">
        <v>64</v>
      </c>
      <c r="D17" s="41" t="str">
        <f>IFERROR(VLOOKUP(B17,#REF!,5,0),"")</f>
        <v/>
      </c>
      <c r="E17" s="41">
        <v>23</v>
      </c>
      <c r="F17" s="41">
        <v>3</v>
      </c>
      <c r="G17" s="41">
        <f t="shared" si="5"/>
        <v>5635</v>
      </c>
      <c r="H17" s="42">
        <v>4591</v>
      </c>
      <c r="I17" s="43">
        <f t="shared" si="0"/>
        <v>0.81472937000887313</v>
      </c>
      <c r="J17" s="44">
        <f t="shared" si="6"/>
        <v>382.58333333333331</v>
      </c>
      <c r="K17" s="45">
        <f t="shared" si="1"/>
        <v>2</v>
      </c>
      <c r="L17" s="46">
        <f t="shared" si="2"/>
        <v>4.3544524276072284E-4</v>
      </c>
      <c r="M17" s="41"/>
      <c r="N17" s="41"/>
      <c r="O17" s="41">
        <v>2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7"/>
      <c r="AK17" s="48"/>
      <c r="AL17" s="54"/>
    </row>
    <row r="18" spans="1:38" ht="36" x14ac:dyDescent="0.15">
      <c r="A18" s="55"/>
      <c r="B18" s="50">
        <v>3332002734</v>
      </c>
      <c r="C18" s="41" t="s">
        <v>65</v>
      </c>
      <c r="D18" s="41" t="str">
        <f>IFERROR(VLOOKUP(B18,#REF!,5,0),"")</f>
        <v/>
      </c>
      <c r="E18" s="41">
        <v>54</v>
      </c>
      <c r="F18" s="41">
        <v>3</v>
      </c>
      <c r="G18" s="41">
        <f t="shared" si="5"/>
        <v>2400</v>
      </c>
      <c r="H18" s="42">
        <v>2189</v>
      </c>
      <c r="I18" s="43">
        <f t="shared" si="0"/>
        <v>0.91208333333333336</v>
      </c>
      <c r="J18" s="44">
        <f t="shared" si="6"/>
        <v>182.41666666666666</v>
      </c>
      <c r="K18" s="45">
        <f t="shared" si="1"/>
        <v>2</v>
      </c>
      <c r="L18" s="46">
        <f t="shared" si="2"/>
        <v>9.1282519397535371E-4</v>
      </c>
      <c r="M18" s="41"/>
      <c r="N18" s="41"/>
      <c r="O18" s="41">
        <v>2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7"/>
      <c r="AK18" s="48"/>
      <c r="AL18" s="55"/>
    </row>
    <row r="19" spans="1:38" ht="24" x14ac:dyDescent="0.15">
      <c r="A19" s="40">
        <v>40</v>
      </c>
      <c r="B19" s="40">
        <v>3332002732</v>
      </c>
      <c r="C19" s="41" t="s">
        <v>66</v>
      </c>
      <c r="D19" s="41" t="str">
        <f>IFERROR(VLOOKUP(B19,#REF!,5,0),"")</f>
        <v/>
      </c>
      <c r="E19" s="41">
        <v>65</v>
      </c>
      <c r="F19" s="41">
        <v>4</v>
      </c>
      <c r="G19" s="41">
        <f t="shared" si="5"/>
        <v>2658</v>
      </c>
      <c r="H19" s="42">
        <v>1954</v>
      </c>
      <c r="I19" s="43">
        <f t="shared" si="0"/>
        <v>0.73513920240782549</v>
      </c>
      <c r="J19" s="44">
        <f t="shared" si="6"/>
        <v>162.83333333333334</v>
      </c>
      <c r="K19" s="45">
        <f t="shared" si="1"/>
        <v>0</v>
      </c>
      <c r="L19" s="46">
        <f t="shared" si="2"/>
        <v>0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7"/>
      <c r="AK19" s="48"/>
      <c r="AL19" s="40"/>
    </row>
    <row r="20" spans="1:38" ht="24" x14ac:dyDescent="0.15">
      <c r="A20" s="53">
        <v>47</v>
      </c>
      <c r="B20" s="50">
        <v>3332001878</v>
      </c>
      <c r="C20" s="52" t="s">
        <v>67</v>
      </c>
      <c r="D20" s="41" t="str">
        <f>IFERROR(VLOOKUP(B20,#REF!,5,0),"")</f>
        <v/>
      </c>
      <c r="E20" s="41">
        <v>33</v>
      </c>
      <c r="F20" s="41">
        <v>8</v>
      </c>
      <c r="G20" s="41">
        <f t="shared" si="5"/>
        <v>10473</v>
      </c>
      <c r="H20" s="42">
        <v>8949</v>
      </c>
      <c r="I20" s="43">
        <f t="shared" si="0"/>
        <v>0.85448295617301628</v>
      </c>
      <c r="J20" s="44">
        <f t="shared" si="6"/>
        <v>745.75</v>
      </c>
      <c r="K20" s="45">
        <f t="shared" si="1"/>
        <v>0</v>
      </c>
      <c r="L20" s="46">
        <f t="shared" si="2"/>
        <v>0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7"/>
      <c r="AK20" s="48"/>
      <c r="AL20" s="40"/>
    </row>
    <row r="21" spans="1:38" ht="24" x14ac:dyDescent="0.15">
      <c r="A21" s="56">
        <v>48</v>
      </c>
      <c r="B21" s="40">
        <v>3332001549</v>
      </c>
      <c r="C21" s="52" t="s">
        <v>68</v>
      </c>
      <c r="D21" s="41" t="str">
        <f>IFERROR(VLOOKUP(B21,#REF!,5,0),"")</f>
        <v/>
      </c>
      <c r="E21" s="41">
        <v>11</v>
      </c>
      <c r="F21" s="41">
        <v>4</v>
      </c>
      <c r="G21" s="41">
        <f t="shared" si="5"/>
        <v>15709</v>
      </c>
      <c r="H21" s="42">
        <v>14393</v>
      </c>
      <c r="I21" s="43">
        <f t="shared" si="0"/>
        <v>0.91622636705073524</v>
      </c>
      <c r="J21" s="44">
        <f t="shared" si="6"/>
        <v>1199.4166666666667</v>
      </c>
      <c r="K21" s="45">
        <f t="shared" si="1"/>
        <v>6</v>
      </c>
      <c r="L21" s="46">
        <f t="shared" si="2"/>
        <v>4.1669560386137927E-4</v>
      </c>
      <c r="M21" s="41">
        <v>6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7"/>
      <c r="AK21" s="48"/>
      <c r="AL21" s="54"/>
    </row>
    <row r="22" spans="1:38" ht="24" x14ac:dyDescent="0.15">
      <c r="A22" s="57"/>
      <c r="B22" s="40">
        <v>3332001552</v>
      </c>
      <c r="C22" s="52" t="s">
        <v>69</v>
      </c>
      <c r="D22" s="41" t="str">
        <f>IFERROR(VLOOKUP(B22,#REF!,5,0),"")</f>
        <v/>
      </c>
      <c r="E22" s="41">
        <v>65</v>
      </c>
      <c r="F22" s="41">
        <v>4</v>
      </c>
      <c r="G22" s="41">
        <f t="shared" si="5"/>
        <v>2658</v>
      </c>
      <c r="H22" s="42">
        <v>2408</v>
      </c>
      <c r="I22" s="43">
        <f t="shared" si="0"/>
        <v>0.90594431903686978</v>
      </c>
      <c r="J22" s="44">
        <f t="shared" si="6"/>
        <v>200.66666666666666</v>
      </c>
      <c r="K22" s="45">
        <f t="shared" si="1"/>
        <v>6</v>
      </c>
      <c r="L22" s="46">
        <f t="shared" si="2"/>
        <v>2.4855012427506215E-3</v>
      </c>
      <c r="M22" s="41">
        <v>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7"/>
      <c r="AK22" s="48"/>
      <c r="AL22" s="55"/>
    </row>
    <row r="23" spans="1:38" ht="24" x14ac:dyDescent="0.15">
      <c r="A23" s="54">
        <v>49</v>
      </c>
      <c r="B23" s="40">
        <v>3332001546</v>
      </c>
      <c r="C23" s="41" t="s">
        <v>70</v>
      </c>
      <c r="D23" s="41" t="str">
        <f>IFERROR(VLOOKUP(B23,#REF!,5,0),"")</f>
        <v/>
      </c>
      <c r="E23" s="41">
        <v>92</v>
      </c>
      <c r="F23" s="41">
        <v>2</v>
      </c>
      <c r="G23" s="41">
        <f t="shared" si="5"/>
        <v>939</v>
      </c>
      <c r="H23" s="42">
        <v>680</v>
      </c>
      <c r="I23" s="43">
        <f t="shared" si="0"/>
        <v>0.72417465388711399</v>
      </c>
      <c r="J23" s="44">
        <f t="shared" si="6"/>
        <v>56.666666666666664</v>
      </c>
      <c r="K23" s="45">
        <f t="shared" si="1"/>
        <v>0</v>
      </c>
      <c r="L23" s="46">
        <f t="shared" si="2"/>
        <v>0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7"/>
      <c r="AK23" s="48"/>
      <c r="AL23" s="54"/>
    </row>
    <row r="24" spans="1:38" ht="24" x14ac:dyDescent="0.15">
      <c r="A24" s="55"/>
      <c r="B24" s="40">
        <v>3332001550</v>
      </c>
      <c r="C24" s="41" t="s">
        <v>71</v>
      </c>
      <c r="D24" s="41" t="str">
        <f>IFERROR(VLOOKUP(B24,#REF!,5,0),"")</f>
        <v/>
      </c>
      <c r="E24" s="41">
        <v>37</v>
      </c>
      <c r="F24" s="41">
        <v>2</v>
      </c>
      <c r="G24" s="41">
        <f t="shared" si="5"/>
        <v>2335</v>
      </c>
      <c r="H24" s="42">
        <v>2182</v>
      </c>
      <c r="I24" s="43">
        <f t="shared" si="0"/>
        <v>0.934475374732334</v>
      </c>
      <c r="J24" s="44">
        <f t="shared" si="6"/>
        <v>181.83333333333334</v>
      </c>
      <c r="K24" s="45">
        <f t="shared" si="1"/>
        <v>0</v>
      </c>
      <c r="L24" s="46">
        <f t="shared" si="2"/>
        <v>0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7"/>
      <c r="AK24" s="48"/>
      <c r="AL24" s="55"/>
    </row>
    <row r="25" spans="1:38" ht="24" x14ac:dyDescent="0.15">
      <c r="A25" s="40"/>
      <c r="B25" s="58" t="s">
        <v>72</v>
      </c>
      <c r="C25" s="41" t="s">
        <v>73</v>
      </c>
      <c r="D25" s="41" t="str">
        <f>IFERROR(VLOOKUP(B25,#REF!,5,0),"")</f>
        <v/>
      </c>
      <c r="E25" s="41"/>
      <c r="F25" s="41"/>
      <c r="G25" s="41"/>
      <c r="H25" s="42">
        <v>112</v>
      </c>
      <c r="I25" s="43" t="e">
        <f t="shared" si="0"/>
        <v>#DIV/0!</v>
      </c>
      <c r="J25" s="44">
        <f>H25/1</f>
        <v>112</v>
      </c>
      <c r="K25" s="45">
        <f t="shared" si="1"/>
        <v>0</v>
      </c>
      <c r="L25" s="46">
        <f t="shared" si="2"/>
        <v>0</v>
      </c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7" t="s">
        <v>74</v>
      </c>
      <c r="AK25" s="48"/>
      <c r="AL25" s="40"/>
    </row>
    <row r="26" spans="1:38" x14ac:dyDescent="0.15">
      <c r="A26" s="20"/>
      <c r="B26" s="59"/>
      <c r="C26" s="60" t="s">
        <v>75</v>
      </c>
      <c r="D26" s="41" t="str">
        <f>IFERROR(VLOOKUP(B26,#REF!,5,0),"")</f>
        <v/>
      </c>
      <c r="E26" s="60"/>
      <c r="F26" s="60"/>
      <c r="G26" s="41">
        <f>SUM(G5:G25)</f>
        <v>94723</v>
      </c>
      <c r="H26" s="61">
        <f>SUM(H4:H25)</f>
        <v>86353</v>
      </c>
      <c r="I26" s="43">
        <f t="shared" si="0"/>
        <v>0.91163708919692155</v>
      </c>
      <c r="J26" s="62"/>
      <c r="K26" s="63">
        <f>SUM(K4:K25)</f>
        <v>210</v>
      </c>
      <c r="L26" s="64">
        <f t="shared" si="2"/>
        <v>2.4259787669096496E-3</v>
      </c>
      <c r="M26" s="60">
        <f t="shared" ref="M26:AI26" si="7">SUM(M5:M25)</f>
        <v>51</v>
      </c>
      <c r="N26" s="60">
        <f t="shared" si="7"/>
        <v>16</v>
      </c>
      <c r="O26" s="60">
        <f t="shared" si="7"/>
        <v>89</v>
      </c>
      <c r="P26" s="60">
        <f t="shared" si="7"/>
        <v>17</v>
      </c>
      <c r="Q26" s="60">
        <f t="shared" si="7"/>
        <v>0</v>
      </c>
      <c r="R26" s="60">
        <f t="shared" si="7"/>
        <v>0</v>
      </c>
      <c r="S26" s="60">
        <f t="shared" si="7"/>
        <v>0</v>
      </c>
      <c r="T26" s="60">
        <f t="shared" si="7"/>
        <v>25</v>
      </c>
      <c r="U26" s="60">
        <f t="shared" si="7"/>
        <v>0</v>
      </c>
      <c r="V26" s="60">
        <f t="shared" si="7"/>
        <v>0</v>
      </c>
      <c r="W26" s="60">
        <f t="shared" si="7"/>
        <v>0</v>
      </c>
      <c r="X26" s="60">
        <f t="shared" si="7"/>
        <v>0</v>
      </c>
      <c r="Y26" s="60">
        <f t="shared" si="7"/>
        <v>0</v>
      </c>
      <c r="Z26" s="60">
        <f t="shared" si="7"/>
        <v>0</v>
      </c>
      <c r="AA26" s="60">
        <f t="shared" si="7"/>
        <v>12</v>
      </c>
      <c r="AB26" s="60">
        <f t="shared" si="7"/>
        <v>0</v>
      </c>
      <c r="AC26" s="60">
        <f t="shared" si="7"/>
        <v>0</v>
      </c>
      <c r="AD26" s="60">
        <f t="shared" si="7"/>
        <v>0</v>
      </c>
      <c r="AE26" s="60">
        <f t="shared" si="7"/>
        <v>0</v>
      </c>
      <c r="AF26" s="60">
        <f t="shared" si="7"/>
        <v>0</v>
      </c>
      <c r="AG26" s="60">
        <f t="shared" si="7"/>
        <v>0</v>
      </c>
      <c r="AH26" s="60">
        <f t="shared" si="7"/>
        <v>0</v>
      </c>
      <c r="AI26" s="60">
        <f t="shared" si="7"/>
        <v>0</v>
      </c>
      <c r="AJ26" s="47"/>
      <c r="AK26" s="48"/>
      <c r="AL26" s="20"/>
    </row>
  </sheetData>
  <mergeCells count="53">
    <mergeCell ref="AJ25:AK25"/>
    <mergeCell ref="AJ26:AK26"/>
    <mergeCell ref="A21:A22"/>
    <mergeCell ref="AJ21:AK21"/>
    <mergeCell ref="AL21:AL22"/>
    <mergeCell ref="AJ22:AK22"/>
    <mergeCell ref="A23:A24"/>
    <mergeCell ref="AJ23:AK23"/>
    <mergeCell ref="AL23:AL24"/>
    <mergeCell ref="AJ24:AK24"/>
    <mergeCell ref="A17:A18"/>
    <mergeCell ref="AJ17:AK17"/>
    <mergeCell ref="AL17:AL18"/>
    <mergeCell ref="AJ18:AK18"/>
    <mergeCell ref="AJ19:AK19"/>
    <mergeCell ref="AJ20:AK20"/>
    <mergeCell ref="AJ11:AK11"/>
    <mergeCell ref="AJ12:AK12"/>
    <mergeCell ref="AJ13:AK13"/>
    <mergeCell ref="AJ14:AK14"/>
    <mergeCell ref="AJ15:AK15"/>
    <mergeCell ref="AJ16:AK16"/>
    <mergeCell ref="AJ5:AK5"/>
    <mergeCell ref="AJ6:AK6"/>
    <mergeCell ref="AJ7:AK7"/>
    <mergeCell ref="AJ8:AK8"/>
    <mergeCell ref="AJ9:AK9"/>
    <mergeCell ref="AJ10:AK10"/>
    <mergeCell ref="I3:I4"/>
    <mergeCell ref="J3:J4"/>
    <mergeCell ref="K3:K4"/>
    <mergeCell ref="L3:L4"/>
    <mergeCell ref="AD3:AI3"/>
    <mergeCell ref="AJ4:AK4"/>
    <mergeCell ref="M1:N1"/>
    <mergeCell ref="O1:P1"/>
    <mergeCell ref="Q1:R1"/>
    <mergeCell ref="S1:U1"/>
    <mergeCell ref="V1:AL2"/>
    <mergeCell ref="M2:N2"/>
    <mergeCell ref="O2:P2"/>
    <mergeCell ref="Q2:R2"/>
    <mergeCell ref="S2:U2"/>
    <mergeCell ref="A1:A4"/>
    <mergeCell ref="B1:B4"/>
    <mergeCell ref="C1:C4"/>
    <mergeCell ref="D1:D4"/>
    <mergeCell ref="E1:G2"/>
    <mergeCell ref="H1:I2"/>
    <mergeCell ref="E3:E4"/>
    <mergeCell ref="F3:F4"/>
    <mergeCell ref="G3:G4"/>
    <mergeCell ref="H3:H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 zhang</dc:creator>
  <cp:lastModifiedBy>222 zhang</cp:lastModifiedBy>
  <dcterms:created xsi:type="dcterms:W3CDTF">2023-05-12T11:15:00Z</dcterms:created>
  <dcterms:modified xsi:type="dcterms:W3CDTF">2026-04-08T10:43:29Z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