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/>
  <mc:AlternateContent xmlns:mc="http://schemas.openxmlformats.org/markup-compatibility/2006">
    <mc:Choice Requires="x15">
      <x15ac:absPath xmlns:x15ac="http://schemas.microsoft.com/office/spreadsheetml/2010/11/ac" url="C:\Users\18726\Desktop\table\原始数据集\"/>
    </mc:Choice>
  </mc:AlternateContent>
  <xr:revisionPtr revIDLastSave="0" documentId="11_BC3ADBD131CC770D198887AD7C6CFC0C88A0EE44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冲压事业部检验日报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44" i="1" l="1"/>
  <c r="M43" i="1"/>
  <c r="M42" i="1"/>
  <c r="M41" i="1"/>
  <c r="M40" i="1"/>
  <c r="M39" i="1"/>
  <c r="M38" i="1"/>
  <c r="M37" i="1"/>
  <c r="M36" i="1"/>
  <c r="M35" i="1"/>
  <c r="M34" i="1"/>
  <c r="M33" i="1"/>
  <c r="M32" i="1"/>
  <c r="M31" i="1"/>
  <c r="M30" i="1"/>
  <c r="M29" i="1"/>
  <c r="M28" i="1"/>
  <c r="M27" i="1"/>
  <c r="M26" i="1"/>
  <c r="M25" i="1"/>
  <c r="M24" i="1"/>
  <c r="M23" i="1"/>
  <c r="M22" i="1"/>
  <c r="M21" i="1"/>
  <c r="M20" i="1"/>
  <c r="M19" i="1"/>
  <c r="M18" i="1"/>
  <c r="M17" i="1"/>
  <c r="M16" i="1"/>
  <c r="M15" i="1"/>
  <c r="M14" i="1"/>
  <c r="M13" i="1"/>
  <c r="M12" i="1"/>
  <c r="M11" i="1"/>
  <c r="M10" i="1"/>
  <c r="M9" i="1"/>
  <c r="M8" i="1"/>
  <c r="M7" i="1"/>
  <c r="M6" i="1"/>
  <c r="M5" i="1"/>
  <c r="M4" i="1"/>
  <c r="M3" i="1"/>
</calcChain>
</file>

<file path=xl/sharedStrings.xml><?xml version="1.0" encoding="utf-8"?>
<sst xmlns="http://schemas.openxmlformats.org/spreadsheetml/2006/main" count="174" uniqueCount="84">
  <si>
    <t>data_id</t>
  </si>
  <si>
    <t>标题</t>
  </si>
  <si>
    <t>流水号</t>
  </si>
  <si>
    <t>部门</t>
  </si>
  <si>
    <t>日期</t>
  </si>
  <si>
    <t>工序部件名称</t>
  </si>
  <si>
    <t>定子冲片方式</t>
  </si>
  <si>
    <t>部门+工序部件</t>
  </si>
  <si>
    <t>检验员</t>
  </si>
  <si>
    <t>记录表</t>
  </si>
  <si>
    <t>送检总数</t>
  </si>
  <si>
    <t>不合格总数</t>
  </si>
  <si>
    <t>一次合格数</t>
  </si>
  <si>
    <t>一次合格率</t>
  </si>
  <si>
    <t>合格数</t>
  </si>
  <si>
    <t>合格率</t>
  </si>
  <si>
    <t>提交人</t>
  </si>
  <si>
    <t>提交时间</t>
  </si>
  <si>
    <t>更新时间</t>
  </si>
  <si>
    <t>规格型号</t>
  </si>
  <si>
    <t>送检数量</t>
  </si>
  <si>
    <t>不合格数</t>
  </si>
  <si>
    <t>返工数</t>
  </si>
  <si>
    <t>返工问题</t>
  </si>
  <si>
    <t>返工合格数</t>
  </si>
  <si>
    <t>报废数</t>
  </si>
  <si>
    <t>报废问题项</t>
  </si>
  <si>
    <t>其他问题说明</t>
  </si>
  <si>
    <t>68b7cb8a42980a5321083313</t>
  </si>
  <si>
    <t>CY202509033</t>
  </si>
  <si>
    <t>冲压</t>
  </si>
  <si>
    <t>铸铝毛坯</t>
  </si>
  <si>
    <t>冲压铸铝毛坯</t>
  </si>
  <si>
    <t>应通友</t>
  </si>
  <si>
    <t>毛坯</t>
  </si>
  <si>
    <t>1废边毛刺</t>
  </si>
  <si>
    <t>王风月</t>
  </si>
  <si>
    <t>68b7cb6c38bdab906ca10082</t>
  </si>
  <si>
    <t>CY202509032</t>
  </si>
  <si>
    <t>铸铝转子</t>
  </si>
  <si>
    <t>冲压铸铝转子</t>
  </si>
  <si>
    <t>63</t>
  </si>
  <si>
    <t>80</t>
  </si>
  <si>
    <t>100</t>
  </si>
  <si>
    <t>13斜键不直</t>
  </si>
  <si>
    <t>132</t>
  </si>
  <si>
    <t>280</t>
  </si>
  <si>
    <t>315</t>
  </si>
  <si>
    <t>355</t>
  </si>
  <si>
    <t>68b7cadfa3e19012261b82e5</t>
  </si>
  <si>
    <t>CY202509031</t>
  </si>
  <si>
    <t>扣片定子</t>
  </si>
  <si>
    <t>单槽高速冲</t>
  </si>
  <si>
    <t>冲压扣片定子</t>
  </si>
  <si>
    <t>68b7cac8b972b3e12344fce9</t>
  </si>
  <si>
    <t>CY202509030</t>
  </si>
  <si>
    <t>台湾高速冲</t>
  </si>
  <si>
    <t>68b7caba9e41e1084ec53bf4</t>
  </si>
  <si>
    <t>CY202509029</t>
  </si>
  <si>
    <t>普通</t>
  </si>
  <si>
    <t>90</t>
  </si>
  <si>
    <t>160</t>
  </si>
  <si>
    <t>21内径/外径不直</t>
  </si>
  <si>
    <t>180</t>
  </si>
  <si>
    <t>225</t>
  </si>
  <si>
    <t>68b7ca9c62c7c425a3603e69</t>
  </si>
  <si>
    <t>CY202509028</t>
  </si>
  <si>
    <t>塞轴转子</t>
  </si>
  <si>
    <t>冲压塞轴转子</t>
  </si>
  <si>
    <t>200</t>
  </si>
  <si>
    <t>250</t>
  </si>
  <si>
    <t>13风叶打泡</t>
  </si>
  <si>
    <t>68b663d8113b4df2f17e25ac</t>
  </si>
  <si>
    <t>CY202509027</t>
  </si>
  <si>
    <t>68b663c2bc8a2f2fc113e137</t>
  </si>
  <si>
    <t>CY202509026</t>
  </si>
  <si>
    <t>112</t>
  </si>
  <si>
    <t>68b6638382fc463a9063d3e4</t>
  </si>
  <si>
    <t>CY202509025</t>
  </si>
  <si>
    <t>68b66375ed1bae249c7136e0</t>
  </si>
  <si>
    <t>CY202509024</t>
  </si>
  <si>
    <t>68b6635dafbd446e11e6f051</t>
  </si>
  <si>
    <t>CY202509023</t>
  </si>
  <si>
    <t>13轴未塞到位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</si>
</sst>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8" formatCode="yyyy\-mm\-dd"/>
    <numFmt numFmtId="179" formatCode="0.########;\-0.########"/>
    <numFmt numFmtId="180" formatCode="yyyy\-mm\-dd\ hh:mm:ss"/>
  </numFmts>
  <fonts count="2" x14ac:knownFonts="1">
    <font>
      <sz val="12"/>
      <color theme="1"/>
      <name val="宋体"/>
      <charset val="134"/>
      <scheme val="minor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78" fontId="0" fillId="0" borderId="0" xfId="0" applyNumberFormat="1"/>
    <xf numFmtId="179" fontId="0" fillId="0" borderId="0" xfId="0" applyNumberFormat="1"/>
    <xf numFmtId="180" fontId="0" fillId="0" borderId="0" xfId="0" applyNumberFormat="1"/>
    <xf numFmtId="0" fontId="0" fillId="0" borderId="0" xfId="0"/>
    <xf numFmtId="178" fontId="0" fillId="0" borderId="0" xfId="0" applyNumberFormat="1"/>
    <xf numFmtId="179" fontId="0" fillId="0" borderId="0" xfId="0" applyNumberFormat="1"/>
    <xf numFmtId="180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44"/>
  <sheetViews>
    <sheetView tabSelected="1" workbookViewId="0">
      <selection activeCell="O19" sqref="O19"/>
    </sheetView>
  </sheetViews>
  <sheetFormatPr defaultColWidth="9" defaultRowHeight="14.25" x14ac:dyDescent="0.15"/>
  <cols>
    <col min="1" max="1" width="15" customWidth="1"/>
    <col min="2" max="2" width="20" customWidth="1"/>
    <col min="3" max="3" width="15" customWidth="1"/>
    <col min="4" max="10" width="20" customWidth="1"/>
    <col min="11" max="14" width="15" customWidth="1"/>
    <col min="15" max="15" width="20" customWidth="1"/>
    <col min="16" max="17" width="15" customWidth="1"/>
    <col min="18" max="18" width="30" customWidth="1"/>
    <col min="19" max="19" width="20" customWidth="1"/>
    <col min="20" max="25" width="15" customWidth="1"/>
    <col min="26" max="28" width="20" customWidth="1"/>
  </cols>
  <sheetData>
    <row r="1" spans="1:28" x14ac:dyDescent="0.1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/>
      <c r="L1" s="4"/>
      <c r="M1" s="4"/>
      <c r="N1" s="4"/>
      <c r="O1" s="4"/>
      <c r="P1" s="4"/>
      <c r="Q1" s="4"/>
      <c r="R1" s="4"/>
      <c r="S1" s="4"/>
      <c r="T1" s="4" t="s">
        <v>10</v>
      </c>
      <c r="U1" s="4" t="s">
        <v>11</v>
      </c>
      <c r="V1" s="4" t="s">
        <v>12</v>
      </c>
      <c r="W1" s="4" t="s">
        <v>13</v>
      </c>
      <c r="X1" s="4" t="s">
        <v>14</v>
      </c>
      <c r="Y1" s="4" t="s">
        <v>15</v>
      </c>
      <c r="Z1" s="4" t="s">
        <v>16</v>
      </c>
      <c r="AA1" s="4" t="s">
        <v>17</v>
      </c>
      <c r="AB1" s="4" t="s">
        <v>18</v>
      </c>
    </row>
    <row r="2" spans="1:28" x14ac:dyDescent="0.15">
      <c r="A2" s="4"/>
      <c r="B2" s="4"/>
      <c r="C2" s="4"/>
      <c r="D2" s="4"/>
      <c r="E2" s="4"/>
      <c r="F2" s="4"/>
      <c r="G2" s="4"/>
      <c r="H2" s="4"/>
      <c r="I2" s="4"/>
      <c r="J2" t="s">
        <v>19</v>
      </c>
      <c r="K2" t="s">
        <v>20</v>
      </c>
      <c r="L2" t="s">
        <v>14</v>
      </c>
      <c r="M2" t="s">
        <v>21</v>
      </c>
      <c r="N2" t="s">
        <v>22</v>
      </c>
      <c r="O2" t="s">
        <v>23</v>
      </c>
      <c r="P2" t="s">
        <v>24</v>
      </c>
      <c r="Q2" t="s">
        <v>25</v>
      </c>
      <c r="R2" t="s">
        <v>26</v>
      </c>
      <c r="S2" t="s">
        <v>27</v>
      </c>
      <c r="T2" s="4"/>
      <c r="U2" s="4"/>
      <c r="V2" s="4"/>
      <c r="W2" s="4"/>
      <c r="X2" s="4"/>
      <c r="Y2" s="4"/>
      <c r="Z2" s="4"/>
      <c r="AA2" s="4"/>
      <c r="AB2" s="4"/>
    </row>
    <row r="3" spans="1:28" x14ac:dyDescent="0.15">
      <c r="A3" t="s">
        <v>28</v>
      </c>
      <c r="B3" t="s">
        <v>29</v>
      </c>
      <c r="C3" t="s">
        <v>29</v>
      </c>
      <c r="D3" t="s">
        <v>30</v>
      </c>
      <c r="E3" s="1">
        <v>45902</v>
      </c>
      <c r="F3" t="s">
        <v>31</v>
      </c>
      <c r="H3" t="s">
        <v>32</v>
      </c>
      <c r="I3" t="s">
        <v>33</v>
      </c>
      <c r="J3" t="s">
        <v>34</v>
      </c>
      <c r="K3" s="2">
        <v>183770</v>
      </c>
      <c r="L3" s="2">
        <v>181760</v>
      </c>
      <c r="M3" s="2">
        <f>K3-L3</f>
        <v>2010</v>
      </c>
      <c r="N3" s="2">
        <v>2010</v>
      </c>
      <c r="O3" t="s">
        <v>35</v>
      </c>
      <c r="P3" s="2">
        <v>2010</v>
      </c>
      <c r="Q3" s="2">
        <v>0</v>
      </c>
      <c r="T3" s="2">
        <v>183770</v>
      </c>
      <c r="U3" s="2">
        <v>201</v>
      </c>
      <c r="V3" s="2">
        <v>18176</v>
      </c>
      <c r="W3" s="2">
        <v>98.91</v>
      </c>
      <c r="X3" s="2">
        <v>183770</v>
      </c>
      <c r="Y3" s="2">
        <v>100</v>
      </c>
      <c r="Z3" t="s">
        <v>36</v>
      </c>
      <c r="AA3" s="3">
        <v>45903.542337963001</v>
      </c>
      <c r="AB3" s="3">
        <v>45903.542337963001</v>
      </c>
    </row>
    <row r="4" spans="1:28" x14ac:dyDescent="0.15">
      <c r="A4" s="4" t="s">
        <v>37</v>
      </c>
      <c r="B4" s="4" t="s">
        <v>38</v>
      </c>
      <c r="C4" s="4" t="s">
        <v>38</v>
      </c>
      <c r="D4" s="4" t="s">
        <v>30</v>
      </c>
      <c r="E4" s="5">
        <v>45902</v>
      </c>
      <c r="F4" s="4" t="s">
        <v>39</v>
      </c>
      <c r="G4" s="4"/>
      <c r="H4" s="4" t="s">
        <v>40</v>
      </c>
      <c r="I4" s="4" t="s">
        <v>33</v>
      </c>
      <c r="J4" t="s">
        <v>41</v>
      </c>
      <c r="K4" s="2">
        <v>2000</v>
      </c>
      <c r="L4" s="2">
        <v>2000</v>
      </c>
      <c r="M4" s="2">
        <f t="shared" ref="M4:M44" si="0">K4-L4</f>
        <v>0</v>
      </c>
      <c r="N4" s="2">
        <v>0</v>
      </c>
      <c r="P4" s="2">
        <v>0</v>
      </c>
      <c r="Q4" s="2">
        <v>0</v>
      </c>
      <c r="T4" s="6">
        <v>4980</v>
      </c>
      <c r="U4" s="6">
        <v>1430</v>
      </c>
      <c r="V4" s="6">
        <v>3550</v>
      </c>
      <c r="W4" s="6">
        <v>71.290000000000006</v>
      </c>
      <c r="X4" s="6">
        <v>4980</v>
      </c>
      <c r="Y4" s="6">
        <v>100</v>
      </c>
      <c r="Z4" s="4" t="s">
        <v>36</v>
      </c>
      <c r="AA4" s="7">
        <v>45903.541990740698</v>
      </c>
      <c r="AB4" s="7">
        <v>45903.541990740698</v>
      </c>
    </row>
    <row r="5" spans="1:28" x14ac:dyDescent="0.15">
      <c r="A5" s="4"/>
      <c r="B5" s="4"/>
      <c r="C5" s="4"/>
      <c r="D5" s="4"/>
      <c r="E5" s="5"/>
      <c r="F5" s="4"/>
      <c r="G5" s="4"/>
      <c r="H5" s="4"/>
      <c r="I5" s="4"/>
      <c r="J5" t="s">
        <v>42</v>
      </c>
      <c r="K5" s="2">
        <v>850</v>
      </c>
      <c r="L5" s="2">
        <v>850</v>
      </c>
      <c r="M5" s="2">
        <f t="shared" si="0"/>
        <v>0</v>
      </c>
      <c r="N5" s="2">
        <v>0</v>
      </c>
      <c r="P5" s="2">
        <v>0</v>
      </c>
      <c r="Q5" s="2">
        <v>0</v>
      </c>
      <c r="T5" s="6"/>
      <c r="U5" s="6"/>
      <c r="V5" s="6"/>
      <c r="W5" s="6"/>
      <c r="X5" s="6"/>
      <c r="Y5" s="6"/>
      <c r="Z5" s="4"/>
      <c r="AA5" s="7"/>
      <c r="AB5" s="7"/>
    </row>
    <row r="6" spans="1:28" x14ac:dyDescent="0.15">
      <c r="A6" s="4"/>
      <c r="B6" s="4"/>
      <c r="C6" s="4"/>
      <c r="D6" s="4"/>
      <c r="E6" s="5"/>
      <c r="F6" s="4"/>
      <c r="G6" s="4"/>
      <c r="H6" s="4"/>
      <c r="I6" s="4"/>
      <c r="J6" t="s">
        <v>43</v>
      </c>
      <c r="K6" s="2">
        <v>1450</v>
      </c>
      <c r="L6" s="2">
        <v>40</v>
      </c>
      <c r="M6" s="2">
        <f t="shared" si="0"/>
        <v>1410</v>
      </c>
      <c r="N6" s="2">
        <v>1410</v>
      </c>
      <c r="O6" t="s">
        <v>44</v>
      </c>
      <c r="P6" s="2">
        <v>1410</v>
      </c>
      <c r="Q6" s="2">
        <v>0</v>
      </c>
      <c r="T6" s="6"/>
      <c r="U6" s="6"/>
      <c r="V6" s="6"/>
      <c r="W6" s="6"/>
      <c r="X6" s="6"/>
      <c r="Y6" s="6"/>
      <c r="Z6" s="4"/>
      <c r="AA6" s="7"/>
      <c r="AB6" s="7"/>
    </row>
    <row r="7" spans="1:28" x14ac:dyDescent="0.15">
      <c r="A7" s="4"/>
      <c r="B7" s="4"/>
      <c r="C7" s="4"/>
      <c r="D7" s="4"/>
      <c r="E7" s="5"/>
      <c r="F7" s="4"/>
      <c r="G7" s="4"/>
      <c r="H7" s="4"/>
      <c r="I7" s="4"/>
      <c r="J7" t="s">
        <v>45</v>
      </c>
      <c r="K7" s="2">
        <v>570</v>
      </c>
      <c r="L7" s="2">
        <v>570</v>
      </c>
      <c r="M7" s="2">
        <f t="shared" si="0"/>
        <v>0</v>
      </c>
      <c r="N7" s="2">
        <v>0</v>
      </c>
      <c r="P7" s="2">
        <v>0</v>
      </c>
      <c r="Q7" s="2">
        <v>0</v>
      </c>
      <c r="T7" s="6"/>
      <c r="U7" s="6"/>
      <c r="V7" s="6"/>
      <c r="W7" s="6"/>
      <c r="X7" s="6"/>
      <c r="Y7" s="6"/>
      <c r="Z7" s="4"/>
      <c r="AA7" s="7"/>
      <c r="AB7" s="7"/>
    </row>
    <row r="8" spans="1:28" x14ac:dyDescent="0.15">
      <c r="A8" s="4"/>
      <c r="B8" s="4"/>
      <c r="C8" s="4"/>
      <c r="D8" s="4"/>
      <c r="E8" s="5"/>
      <c r="F8" s="4"/>
      <c r="G8" s="4"/>
      <c r="H8" s="4"/>
      <c r="I8" s="4"/>
      <c r="J8" t="s">
        <v>46</v>
      </c>
      <c r="K8" s="2">
        <v>60</v>
      </c>
      <c r="L8" s="2">
        <v>60</v>
      </c>
      <c r="M8" s="2">
        <f t="shared" si="0"/>
        <v>0</v>
      </c>
      <c r="N8" s="2">
        <v>0</v>
      </c>
      <c r="P8" s="2">
        <v>0</v>
      </c>
      <c r="Q8" s="2">
        <v>0</v>
      </c>
      <c r="T8" s="6"/>
      <c r="U8" s="6"/>
      <c r="V8" s="6"/>
      <c r="W8" s="6"/>
      <c r="X8" s="6"/>
      <c r="Y8" s="6"/>
      <c r="Z8" s="4"/>
      <c r="AA8" s="7"/>
      <c r="AB8" s="7"/>
    </row>
    <row r="9" spans="1:28" x14ac:dyDescent="0.15">
      <c r="A9" s="4"/>
      <c r="B9" s="4"/>
      <c r="C9" s="4"/>
      <c r="D9" s="4"/>
      <c r="E9" s="5"/>
      <c r="F9" s="4"/>
      <c r="G9" s="4"/>
      <c r="H9" s="4"/>
      <c r="I9" s="4"/>
      <c r="J9" t="s">
        <v>47</v>
      </c>
      <c r="K9" s="2">
        <v>40</v>
      </c>
      <c r="L9" s="2">
        <v>20</v>
      </c>
      <c r="M9" s="2">
        <f t="shared" si="0"/>
        <v>20</v>
      </c>
      <c r="N9" s="2">
        <v>20</v>
      </c>
      <c r="O9" t="s">
        <v>44</v>
      </c>
      <c r="P9" s="2">
        <v>20</v>
      </c>
      <c r="Q9" s="2">
        <v>0</v>
      </c>
      <c r="T9" s="6"/>
      <c r="U9" s="6"/>
      <c r="V9" s="6"/>
      <c r="W9" s="6"/>
      <c r="X9" s="6"/>
      <c r="Y9" s="6"/>
      <c r="Z9" s="4"/>
      <c r="AA9" s="7"/>
      <c r="AB9" s="7"/>
    </row>
    <row r="10" spans="1:28" x14ac:dyDescent="0.15">
      <c r="A10" s="4"/>
      <c r="B10" s="4"/>
      <c r="C10" s="4"/>
      <c r="D10" s="4"/>
      <c r="E10" s="5"/>
      <c r="F10" s="4"/>
      <c r="G10" s="4"/>
      <c r="H10" s="4"/>
      <c r="I10" s="4"/>
      <c r="J10" t="s">
        <v>48</v>
      </c>
      <c r="K10" s="2">
        <v>10</v>
      </c>
      <c r="L10" s="2">
        <v>10</v>
      </c>
      <c r="M10" s="2">
        <f t="shared" si="0"/>
        <v>0</v>
      </c>
      <c r="N10" s="2">
        <v>0</v>
      </c>
      <c r="P10" s="2">
        <v>0</v>
      </c>
      <c r="Q10" s="2">
        <v>0</v>
      </c>
      <c r="T10" s="6"/>
      <c r="U10" s="6"/>
      <c r="V10" s="6"/>
      <c r="W10" s="6"/>
      <c r="X10" s="6"/>
      <c r="Y10" s="6"/>
      <c r="Z10" s="4"/>
      <c r="AA10" s="7"/>
      <c r="AB10" s="7"/>
    </row>
    <row r="11" spans="1:28" x14ac:dyDescent="0.15">
      <c r="A11" s="4" t="s">
        <v>49</v>
      </c>
      <c r="B11" s="4" t="s">
        <v>50</v>
      </c>
      <c r="C11" s="4" t="s">
        <v>50</v>
      </c>
      <c r="D11" s="4" t="s">
        <v>30</v>
      </c>
      <c r="E11" s="5">
        <v>45902</v>
      </c>
      <c r="F11" s="4" t="s">
        <v>51</v>
      </c>
      <c r="G11" s="4" t="s">
        <v>52</v>
      </c>
      <c r="H11" s="4" t="s">
        <v>53</v>
      </c>
      <c r="I11" s="4" t="s">
        <v>33</v>
      </c>
      <c r="J11" t="s">
        <v>46</v>
      </c>
      <c r="K11" s="2">
        <v>20</v>
      </c>
      <c r="L11" s="2">
        <v>20</v>
      </c>
      <c r="M11" s="2">
        <f t="shared" si="0"/>
        <v>0</v>
      </c>
      <c r="N11" s="2">
        <v>0</v>
      </c>
      <c r="P11" s="2">
        <v>0</v>
      </c>
      <c r="Q11" s="2">
        <v>0</v>
      </c>
      <c r="T11" s="6">
        <v>30</v>
      </c>
      <c r="U11" s="6">
        <v>0</v>
      </c>
      <c r="V11" s="6">
        <v>30</v>
      </c>
      <c r="W11" s="6">
        <v>100</v>
      </c>
      <c r="X11" s="6">
        <v>30</v>
      </c>
      <c r="Y11" s="6">
        <v>100</v>
      </c>
      <c r="Z11" s="4" t="s">
        <v>36</v>
      </c>
      <c r="AA11" s="7">
        <v>45903.540358796301</v>
      </c>
      <c r="AB11" s="7">
        <v>45903.540358796301</v>
      </c>
    </row>
    <row r="12" spans="1:28" x14ac:dyDescent="0.15">
      <c r="A12" s="4"/>
      <c r="B12" s="4"/>
      <c r="C12" s="4"/>
      <c r="D12" s="4"/>
      <c r="E12" s="5"/>
      <c r="F12" s="4"/>
      <c r="G12" s="4"/>
      <c r="H12" s="4"/>
      <c r="I12" s="4"/>
      <c r="J12" t="s">
        <v>48</v>
      </c>
      <c r="K12" s="2">
        <v>10</v>
      </c>
      <c r="L12" s="2">
        <v>10</v>
      </c>
      <c r="M12" s="2">
        <f t="shared" si="0"/>
        <v>0</v>
      </c>
      <c r="N12" s="2">
        <v>0</v>
      </c>
      <c r="P12" s="2">
        <v>0</v>
      </c>
      <c r="Q12" s="2">
        <v>0</v>
      </c>
      <c r="T12" s="6"/>
      <c r="U12" s="6"/>
      <c r="V12" s="6"/>
      <c r="W12" s="6"/>
      <c r="X12" s="6"/>
      <c r="Y12" s="6"/>
      <c r="Z12" s="4"/>
      <c r="AA12" s="7"/>
      <c r="AB12" s="7"/>
    </row>
    <row r="13" spans="1:28" x14ac:dyDescent="0.15">
      <c r="A13" t="s">
        <v>54</v>
      </c>
      <c r="B13" t="s">
        <v>55</v>
      </c>
      <c r="C13" t="s">
        <v>55</v>
      </c>
      <c r="D13" t="s">
        <v>30</v>
      </c>
      <c r="E13" s="1">
        <v>45902</v>
      </c>
      <c r="F13" t="s">
        <v>51</v>
      </c>
      <c r="G13" t="s">
        <v>56</v>
      </c>
      <c r="H13" t="s">
        <v>53</v>
      </c>
      <c r="I13" t="s">
        <v>33</v>
      </c>
      <c r="J13" t="s">
        <v>42</v>
      </c>
      <c r="K13" s="2">
        <v>2600</v>
      </c>
      <c r="L13" s="2">
        <v>2600</v>
      </c>
      <c r="M13" s="2">
        <f t="shared" si="0"/>
        <v>0</v>
      </c>
      <c r="N13" s="2">
        <v>0</v>
      </c>
      <c r="P13" s="2">
        <v>0</v>
      </c>
      <c r="Q13" s="2">
        <v>0</v>
      </c>
      <c r="T13" s="2">
        <v>2600</v>
      </c>
      <c r="U13" s="2">
        <v>0</v>
      </c>
      <c r="V13" s="2">
        <v>2600</v>
      </c>
      <c r="W13" s="2">
        <v>100</v>
      </c>
      <c r="X13" s="2">
        <v>2600</v>
      </c>
      <c r="Y13" s="2">
        <v>100</v>
      </c>
      <c r="Z13" t="s">
        <v>36</v>
      </c>
      <c r="AA13" s="3">
        <v>45903.540092592601</v>
      </c>
      <c r="AB13" s="3">
        <v>45903.540092592601</v>
      </c>
    </row>
    <row r="14" spans="1:28" x14ac:dyDescent="0.15">
      <c r="A14" s="4" t="s">
        <v>57</v>
      </c>
      <c r="B14" s="4" t="s">
        <v>58</v>
      </c>
      <c r="C14" s="4" t="s">
        <v>58</v>
      </c>
      <c r="D14" s="4" t="s">
        <v>30</v>
      </c>
      <c r="E14" s="5">
        <v>45902</v>
      </c>
      <c r="F14" s="4" t="s">
        <v>51</v>
      </c>
      <c r="G14" s="4" t="s">
        <v>59</v>
      </c>
      <c r="H14" s="4" t="s">
        <v>53</v>
      </c>
      <c r="I14" s="4" t="s">
        <v>33</v>
      </c>
      <c r="J14" t="s">
        <v>42</v>
      </c>
      <c r="K14" s="2">
        <v>850</v>
      </c>
      <c r="L14" s="2">
        <v>850</v>
      </c>
      <c r="M14" s="2">
        <f t="shared" si="0"/>
        <v>0</v>
      </c>
      <c r="N14" s="2">
        <v>0</v>
      </c>
      <c r="P14" s="2">
        <v>0</v>
      </c>
      <c r="Q14" s="2">
        <v>0</v>
      </c>
      <c r="T14" s="6">
        <v>7280</v>
      </c>
      <c r="U14" s="6">
        <v>90</v>
      </c>
      <c r="V14" s="6">
        <v>7190</v>
      </c>
      <c r="W14" s="6">
        <v>98.76</v>
      </c>
      <c r="X14" s="6">
        <v>7280</v>
      </c>
      <c r="Y14" s="6">
        <v>100</v>
      </c>
      <c r="Z14" s="4" t="s">
        <v>36</v>
      </c>
      <c r="AA14" s="7">
        <v>45903.539930555598</v>
      </c>
      <c r="AB14" s="7">
        <v>45903.539930555598</v>
      </c>
    </row>
    <row r="15" spans="1:28" x14ac:dyDescent="0.15">
      <c r="A15" s="4"/>
      <c r="B15" s="4"/>
      <c r="C15" s="4"/>
      <c r="D15" s="4"/>
      <c r="E15" s="5"/>
      <c r="F15" s="4"/>
      <c r="G15" s="4"/>
      <c r="H15" s="4"/>
      <c r="I15" s="4"/>
      <c r="J15" t="s">
        <v>60</v>
      </c>
      <c r="K15" s="2">
        <v>20</v>
      </c>
      <c r="L15" s="2">
        <v>20</v>
      </c>
      <c r="M15" s="2">
        <f t="shared" si="0"/>
        <v>0</v>
      </c>
      <c r="N15" s="2">
        <v>0</v>
      </c>
      <c r="P15" s="2">
        <v>0</v>
      </c>
      <c r="Q15" s="2">
        <v>0</v>
      </c>
      <c r="T15" s="6"/>
      <c r="U15" s="6"/>
      <c r="V15" s="6"/>
      <c r="W15" s="6"/>
      <c r="X15" s="6"/>
      <c r="Y15" s="6"/>
      <c r="Z15" s="4"/>
      <c r="AA15" s="7"/>
      <c r="AB15" s="7"/>
    </row>
    <row r="16" spans="1:28" x14ac:dyDescent="0.15">
      <c r="A16" s="4"/>
      <c r="B16" s="4"/>
      <c r="C16" s="4"/>
      <c r="D16" s="4"/>
      <c r="E16" s="5"/>
      <c r="F16" s="4"/>
      <c r="G16" s="4"/>
      <c r="H16" s="4"/>
      <c r="I16" s="4"/>
      <c r="J16" t="s">
        <v>43</v>
      </c>
      <c r="K16" s="2">
        <v>1500</v>
      </c>
      <c r="L16" s="2">
        <v>1500</v>
      </c>
      <c r="M16" s="2">
        <f t="shared" si="0"/>
        <v>0</v>
      </c>
      <c r="N16" s="2">
        <v>0</v>
      </c>
      <c r="P16" s="2">
        <v>0</v>
      </c>
      <c r="Q16" s="2">
        <v>0</v>
      </c>
      <c r="T16" s="6"/>
      <c r="U16" s="6"/>
      <c r="V16" s="6"/>
      <c r="W16" s="6"/>
      <c r="X16" s="6"/>
      <c r="Y16" s="6"/>
      <c r="Z16" s="4"/>
      <c r="AA16" s="7"/>
      <c r="AB16" s="7"/>
    </row>
    <row r="17" spans="1:28" x14ac:dyDescent="0.15">
      <c r="A17" s="4"/>
      <c r="B17" s="4"/>
      <c r="C17" s="4"/>
      <c r="D17" s="4"/>
      <c r="E17" s="5"/>
      <c r="F17" s="4"/>
      <c r="G17" s="4"/>
      <c r="H17" s="4"/>
      <c r="I17" s="4"/>
      <c r="J17" t="s">
        <v>45</v>
      </c>
      <c r="K17" s="2">
        <v>2000</v>
      </c>
      <c r="L17" s="2">
        <v>2000</v>
      </c>
      <c r="M17" s="2">
        <f t="shared" si="0"/>
        <v>0</v>
      </c>
      <c r="N17" s="2">
        <v>0</v>
      </c>
      <c r="P17" s="2">
        <v>0</v>
      </c>
      <c r="Q17" s="2">
        <v>0</v>
      </c>
      <c r="T17" s="6"/>
      <c r="U17" s="6"/>
      <c r="V17" s="6"/>
      <c r="W17" s="6"/>
      <c r="X17" s="6"/>
      <c r="Y17" s="6"/>
      <c r="Z17" s="4"/>
      <c r="AA17" s="7"/>
      <c r="AB17" s="7"/>
    </row>
    <row r="18" spans="1:28" x14ac:dyDescent="0.15">
      <c r="A18" s="4"/>
      <c r="B18" s="4"/>
      <c r="C18" s="4"/>
      <c r="D18" s="4"/>
      <c r="E18" s="5"/>
      <c r="F18" s="4"/>
      <c r="G18" s="4"/>
      <c r="H18" s="4"/>
      <c r="I18" s="4"/>
      <c r="J18" t="s">
        <v>61</v>
      </c>
      <c r="K18" s="2">
        <v>2230</v>
      </c>
      <c r="L18" s="2">
        <v>2160</v>
      </c>
      <c r="M18" s="2">
        <f t="shared" si="0"/>
        <v>70</v>
      </c>
      <c r="N18" s="2">
        <v>70</v>
      </c>
      <c r="O18" t="s">
        <v>62</v>
      </c>
      <c r="P18" s="2">
        <v>70</v>
      </c>
      <c r="Q18" s="2">
        <v>0</v>
      </c>
      <c r="T18" s="6"/>
      <c r="U18" s="6"/>
      <c r="V18" s="6"/>
      <c r="W18" s="6"/>
      <c r="X18" s="6"/>
      <c r="Y18" s="6"/>
      <c r="Z18" s="4"/>
      <c r="AA18" s="7"/>
      <c r="AB18" s="7"/>
    </row>
    <row r="19" spans="1:28" x14ac:dyDescent="0.15">
      <c r="A19" s="4"/>
      <c r="B19" s="4"/>
      <c r="C19" s="4"/>
      <c r="D19" s="4"/>
      <c r="E19" s="5"/>
      <c r="F19" s="4"/>
      <c r="G19" s="4"/>
      <c r="H19" s="4"/>
      <c r="I19" s="4"/>
      <c r="J19" t="s">
        <v>63</v>
      </c>
      <c r="K19" s="2">
        <v>200</v>
      </c>
      <c r="L19" s="2">
        <v>180</v>
      </c>
      <c r="M19" s="2">
        <f t="shared" si="0"/>
        <v>20</v>
      </c>
      <c r="N19" s="2">
        <v>20</v>
      </c>
      <c r="O19" t="s">
        <v>62</v>
      </c>
      <c r="P19" s="2">
        <v>20</v>
      </c>
      <c r="Q19" s="2">
        <v>0</v>
      </c>
      <c r="T19" s="6"/>
      <c r="U19" s="6"/>
      <c r="V19" s="6"/>
      <c r="W19" s="6"/>
      <c r="X19" s="6"/>
      <c r="Y19" s="6"/>
      <c r="Z19" s="4"/>
      <c r="AA19" s="7"/>
      <c r="AB19" s="7"/>
    </row>
    <row r="20" spans="1:28" x14ac:dyDescent="0.15">
      <c r="A20" s="4"/>
      <c r="B20" s="4"/>
      <c r="C20" s="4"/>
      <c r="D20" s="4"/>
      <c r="E20" s="5"/>
      <c r="F20" s="4"/>
      <c r="G20" s="4"/>
      <c r="H20" s="4"/>
      <c r="I20" s="4"/>
      <c r="J20" t="s">
        <v>64</v>
      </c>
      <c r="K20" s="2">
        <v>480</v>
      </c>
      <c r="L20" s="2">
        <v>480</v>
      </c>
      <c r="M20" s="2">
        <f t="shared" si="0"/>
        <v>0</v>
      </c>
      <c r="N20" s="2">
        <v>0</v>
      </c>
      <c r="P20" s="2">
        <v>0</v>
      </c>
      <c r="Q20" s="2">
        <v>0</v>
      </c>
      <c r="T20" s="6"/>
      <c r="U20" s="6"/>
      <c r="V20" s="6"/>
      <c r="W20" s="6"/>
      <c r="X20" s="6"/>
      <c r="Y20" s="6"/>
      <c r="Z20" s="4"/>
      <c r="AA20" s="7"/>
      <c r="AB20" s="7"/>
    </row>
    <row r="21" spans="1:28" x14ac:dyDescent="0.15">
      <c r="A21" s="4" t="s">
        <v>65</v>
      </c>
      <c r="B21" s="4" t="s">
        <v>66</v>
      </c>
      <c r="C21" s="4" t="s">
        <v>66</v>
      </c>
      <c r="D21" s="4" t="s">
        <v>30</v>
      </c>
      <c r="E21" s="5">
        <v>45902</v>
      </c>
      <c r="F21" s="4" t="s">
        <v>67</v>
      </c>
      <c r="G21" s="4"/>
      <c r="H21" s="4" t="s">
        <v>68</v>
      </c>
      <c r="I21" s="4" t="s">
        <v>33</v>
      </c>
      <c r="J21" t="s">
        <v>69</v>
      </c>
      <c r="K21" s="2">
        <v>680</v>
      </c>
      <c r="L21" s="2">
        <v>680</v>
      </c>
      <c r="M21" s="2">
        <f t="shared" si="0"/>
        <v>0</v>
      </c>
      <c r="N21" s="2">
        <v>0</v>
      </c>
      <c r="P21" s="2">
        <v>0</v>
      </c>
      <c r="Q21" s="2">
        <v>0</v>
      </c>
      <c r="T21" s="6">
        <v>910</v>
      </c>
      <c r="U21" s="6">
        <v>10</v>
      </c>
      <c r="V21" s="6">
        <v>900</v>
      </c>
      <c r="W21" s="6">
        <v>98.9</v>
      </c>
      <c r="X21" s="6">
        <v>910</v>
      </c>
      <c r="Y21" s="6">
        <v>100</v>
      </c>
      <c r="Z21" s="4" t="s">
        <v>36</v>
      </c>
      <c r="AA21" s="7">
        <v>45903.539583333302</v>
      </c>
      <c r="AB21" s="7">
        <v>45903.539583333302</v>
      </c>
    </row>
    <row r="22" spans="1:28" x14ac:dyDescent="0.15">
      <c r="A22" s="4"/>
      <c r="B22" s="4"/>
      <c r="C22" s="4"/>
      <c r="D22" s="4"/>
      <c r="E22" s="5"/>
      <c r="F22" s="4"/>
      <c r="G22" s="4"/>
      <c r="H22" s="4"/>
      <c r="I22" s="4"/>
      <c r="J22" t="s">
        <v>70</v>
      </c>
      <c r="K22" s="2">
        <v>30</v>
      </c>
      <c r="L22" s="2">
        <v>30</v>
      </c>
      <c r="M22" s="2">
        <f t="shared" si="0"/>
        <v>0</v>
      </c>
      <c r="N22" s="2">
        <v>0</v>
      </c>
      <c r="P22" s="2">
        <v>0</v>
      </c>
      <c r="Q22" s="2">
        <v>0</v>
      </c>
      <c r="T22" s="6"/>
      <c r="U22" s="6"/>
      <c r="V22" s="6"/>
      <c r="W22" s="6"/>
      <c r="X22" s="6"/>
      <c r="Y22" s="6"/>
      <c r="Z22" s="4"/>
      <c r="AA22" s="7"/>
      <c r="AB22" s="7"/>
    </row>
    <row r="23" spans="1:28" x14ac:dyDescent="0.15">
      <c r="A23" s="4"/>
      <c r="B23" s="4"/>
      <c r="C23" s="4"/>
      <c r="D23" s="4"/>
      <c r="E23" s="5"/>
      <c r="F23" s="4"/>
      <c r="G23" s="4"/>
      <c r="H23" s="4"/>
      <c r="I23" s="4"/>
      <c r="J23" t="s">
        <v>46</v>
      </c>
      <c r="K23" s="2">
        <v>170</v>
      </c>
      <c r="L23" s="2">
        <v>160</v>
      </c>
      <c r="M23" s="2">
        <f t="shared" si="0"/>
        <v>10</v>
      </c>
      <c r="N23" s="2">
        <v>10</v>
      </c>
      <c r="O23" t="s">
        <v>71</v>
      </c>
      <c r="P23" s="2">
        <v>10</v>
      </c>
      <c r="Q23" s="2">
        <v>0</v>
      </c>
      <c r="T23" s="6"/>
      <c r="U23" s="6"/>
      <c r="V23" s="6"/>
      <c r="W23" s="6"/>
      <c r="X23" s="6"/>
      <c r="Y23" s="6"/>
      <c r="Z23" s="4"/>
      <c r="AA23" s="7"/>
      <c r="AB23" s="7"/>
    </row>
    <row r="24" spans="1:28" x14ac:dyDescent="0.15">
      <c r="A24" s="4"/>
      <c r="B24" s="4"/>
      <c r="C24" s="4"/>
      <c r="D24" s="4"/>
      <c r="E24" s="5"/>
      <c r="F24" s="4"/>
      <c r="G24" s="4"/>
      <c r="H24" s="4"/>
      <c r="I24" s="4"/>
      <c r="J24" t="s">
        <v>47</v>
      </c>
      <c r="K24" s="2">
        <v>30</v>
      </c>
      <c r="L24" s="2">
        <v>30</v>
      </c>
      <c r="M24" s="2">
        <f t="shared" si="0"/>
        <v>0</v>
      </c>
      <c r="N24" s="2">
        <v>0</v>
      </c>
      <c r="P24" s="2">
        <v>0</v>
      </c>
      <c r="Q24" s="2">
        <v>0</v>
      </c>
      <c r="T24" s="6"/>
      <c r="U24" s="6"/>
      <c r="V24" s="6"/>
      <c r="W24" s="6"/>
      <c r="X24" s="6"/>
      <c r="Y24" s="6"/>
      <c r="Z24" s="4"/>
      <c r="AA24" s="7"/>
      <c r="AB24" s="7"/>
    </row>
    <row r="25" spans="1:28" x14ac:dyDescent="0.15">
      <c r="A25" t="s">
        <v>72</v>
      </c>
      <c r="B25" t="s">
        <v>73</v>
      </c>
      <c r="C25" t="s">
        <v>73</v>
      </c>
      <c r="D25" t="s">
        <v>30</v>
      </c>
      <c r="E25" s="1">
        <v>45901</v>
      </c>
      <c r="F25" t="s">
        <v>31</v>
      </c>
      <c r="H25" t="s">
        <v>32</v>
      </c>
      <c r="I25" t="s">
        <v>33</v>
      </c>
      <c r="J25" t="s">
        <v>34</v>
      </c>
      <c r="K25" s="2">
        <v>38030</v>
      </c>
      <c r="L25" s="2">
        <v>37620</v>
      </c>
      <c r="M25" s="2">
        <f t="shared" si="0"/>
        <v>410</v>
      </c>
      <c r="N25" s="2">
        <v>410</v>
      </c>
      <c r="O25" t="s">
        <v>35</v>
      </c>
      <c r="P25" s="2">
        <v>410</v>
      </c>
      <c r="Q25" s="2">
        <v>0</v>
      </c>
      <c r="T25" s="2">
        <v>38030</v>
      </c>
      <c r="U25" s="2">
        <v>410</v>
      </c>
      <c r="V25" s="2">
        <v>37620</v>
      </c>
      <c r="W25" s="2">
        <v>98.92</v>
      </c>
      <c r="X25" s="2">
        <v>38030</v>
      </c>
      <c r="Y25" s="2">
        <v>100</v>
      </c>
      <c r="Z25" t="s">
        <v>36</v>
      </c>
      <c r="AA25" s="3">
        <v>45902.476574074099</v>
      </c>
      <c r="AB25" s="3">
        <v>45902.476574074099</v>
      </c>
    </row>
    <row r="26" spans="1:28" x14ac:dyDescent="0.15">
      <c r="A26" s="4" t="s">
        <v>74</v>
      </c>
      <c r="B26" s="4" t="s">
        <v>75</v>
      </c>
      <c r="C26" s="4" t="s">
        <v>75</v>
      </c>
      <c r="D26" s="4" t="s">
        <v>30</v>
      </c>
      <c r="E26" s="5">
        <v>45901</v>
      </c>
      <c r="F26" s="4" t="s">
        <v>39</v>
      </c>
      <c r="G26" s="4"/>
      <c r="H26" s="4" t="s">
        <v>40</v>
      </c>
      <c r="I26" s="4" t="s">
        <v>33</v>
      </c>
      <c r="J26" t="s">
        <v>41</v>
      </c>
      <c r="K26" s="2">
        <v>2000</v>
      </c>
      <c r="L26" s="2">
        <v>2000</v>
      </c>
      <c r="M26" s="2">
        <f t="shared" si="0"/>
        <v>0</v>
      </c>
      <c r="N26" s="2">
        <v>0</v>
      </c>
      <c r="P26" s="2">
        <v>0</v>
      </c>
      <c r="Q26" s="2">
        <v>0</v>
      </c>
      <c r="T26" s="6">
        <v>4760</v>
      </c>
      <c r="U26" s="6">
        <v>50</v>
      </c>
      <c r="V26" s="6">
        <v>4710</v>
      </c>
      <c r="W26" s="6">
        <v>98.95</v>
      </c>
      <c r="X26" s="6">
        <v>4760</v>
      </c>
      <c r="Y26" s="6">
        <v>100</v>
      </c>
      <c r="Z26" s="4" t="s">
        <v>36</v>
      </c>
      <c r="AA26" s="7">
        <v>45902.476319444402</v>
      </c>
      <c r="AB26" s="7">
        <v>45902.476319444402</v>
      </c>
    </row>
    <row r="27" spans="1:28" x14ac:dyDescent="0.15">
      <c r="A27" s="4"/>
      <c r="B27" s="4"/>
      <c r="C27" s="4"/>
      <c r="D27" s="4"/>
      <c r="E27" s="5"/>
      <c r="F27" s="4"/>
      <c r="G27" s="4"/>
      <c r="H27" s="4"/>
      <c r="I27" s="4"/>
      <c r="J27" t="s">
        <v>43</v>
      </c>
      <c r="K27" s="2">
        <v>1300</v>
      </c>
      <c r="L27" s="2">
        <v>1300</v>
      </c>
      <c r="M27" s="2">
        <f t="shared" si="0"/>
        <v>0</v>
      </c>
      <c r="N27" s="2">
        <v>0</v>
      </c>
      <c r="P27" s="2">
        <v>0</v>
      </c>
      <c r="Q27" s="2">
        <v>0</v>
      </c>
      <c r="T27" s="6"/>
      <c r="U27" s="6"/>
      <c r="V27" s="6"/>
      <c r="W27" s="6"/>
      <c r="X27" s="6"/>
      <c r="Y27" s="6"/>
      <c r="Z27" s="4"/>
      <c r="AA27" s="7"/>
      <c r="AB27" s="7"/>
    </row>
    <row r="28" spans="1:28" x14ac:dyDescent="0.15">
      <c r="A28" s="4"/>
      <c r="B28" s="4"/>
      <c r="C28" s="4"/>
      <c r="D28" s="4"/>
      <c r="E28" s="5"/>
      <c r="F28" s="4"/>
      <c r="G28" s="4"/>
      <c r="H28" s="4"/>
      <c r="I28" s="4"/>
      <c r="J28" t="s">
        <v>76</v>
      </c>
      <c r="K28" s="2">
        <v>800</v>
      </c>
      <c r="L28" s="2">
        <v>800</v>
      </c>
      <c r="M28" s="2">
        <f t="shared" si="0"/>
        <v>0</v>
      </c>
      <c r="N28" s="2">
        <v>0</v>
      </c>
      <c r="P28" s="2">
        <v>0</v>
      </c>
      <c r="Q28" s="2">
        <v>0</v>
      </c>
      <c r="T28" s="6"/>
      <c r="U28" s="6"/>
      <c r="V28" s="6"/>
      <c r="W28" s="6"/>
      <c r="X28" s="6"/>
      <c r="Y28" s="6"/>
      <c r="Z28" s="4"/>
      <c r="AA28" s="7"/>
      <c r="AB28" s="7"/>
    </row>
    <row r="29" spans="1:28" x14ac:dyDescent="0.15">
      <c r="A29" s="4"/>
      <c r="B29" s="4"/>
      <c r="C29" s="4"/>
      <c r="D29" s="4"/>
      <c r="E29" s="5"/>
      <c r="F29" s="4"/>
      <c r="G29" s="4"/>
      <c r="H29" s="4"/>
      <c r="I29" s="4"/>
      <c r="J29" t="s">
        <v>61</v>
      </c>
      <c r="K29" s="2">
        <v>20</v>
      </c>
      <c r="L29" s="2">
        <v>20</v>
      </c>
      <c r="M29" s="2">
        <f t="shared" si="0"/>
        <v>0</v>
      </c>
      <c r="N29" s="2">
        <v>0</v>
      </c>
      <c r="P29" s="2">
        <v>0</v>
      </c>
      <c r="Q29" s="2">
        <v>0</v>
      </c>
      <c r="T29" s="6"/>
      <c r="U29" s="6"/>
      <c r="V29" s="6"/>
      <c r="W29" s="6"/>
      <c r="X29" s="6"/>
      <c r="Y29" s="6"/>
      <c r="Z29" s="4"/>
      <c r="AA29" s="7"/>
      <c r="AB29" s="7"/>
    </row>
    <row r="30" spans="1:28" x14ac:dyDescent="0.15">
      <c r="A30" s="4"/>
      <c r="B30" s="4"/>
      <c r="C30" s="4"/>
      <c r="D30" s="4"/>
      <c r="E30" s="5"/>
      <c r="F30" s="4"/>
      <c r="G30" s="4"/>
      <c r="H30" s="4"/>
      <c r="I30" s="4"/>
      <c r="J30" t="s">
        <v>63</v>
      </c>
      <c r="K30" s="2">
        <v>140</v>
      </c>
      <c r="L30" s="2">
        <v>140</v>
      </c>
      <c r="M30" s="2">
        <f t="shared" si="0"/>
        <v>0</v>
      </c>
      <c r="N30" s="2">
        <v>0</v>
      </c>
      <c r="P30" s="2">
        <v>0</v>
      </c>
      <c r="Q30" s="2">
        <v>0</v>
      </c>
      <c r="T30" s="6"/>
      <c r="U30" s="6"/>
      <c r="V30" s="6"/>
      <c r="W30" s="6"/>
      <c r="X30" s="6"/>
      <c r="Y30" s="6"/>
      <c r="Z30" s="4"/>
      <c r="AA30" s="7"/>
      <c r="AB30" s="7"/>
    </row>
    <row r="31" spans="1:28" x14ac:dyDescent="0.15">
      <c r="A31" s="4"/>
      <c r="B31" s="4"/>
      <c r="C31" s="4"/>
      <c r="D31" s="4"/>
      <c r="E31" s="5"/>
      <c r="F31" s="4"/>
      <c r="G31" s="4"/>
      <c r="H31" s="4"/>
      <c r="I31" s="4"/>
      <c r="J31" t="s">
        <v>69</v>
      </c>
      <c r="K31" s="2">
        <v>170</v>
      </c>
      <c r="L31" s="2">
        <v>170</v>
      </c>
      <c r="M31" s="2">
        <f t="shared" si="0"/>
        <v>0</v>
      </c>
      <c r="N31" s="2">
        <v>0</v>
      </c>
      <c r="P31" s="2">
        <v>0</v>
      </c>
      <c r="Q31" s="2">
        <v>0</v>
      </c>
      <c r="T31" s="6"/>
      <c r="U31" s="6"/>
      <c r="V31" s="6"/>
      <c r="W31" s="6"/>
      <c r="X31" s="6"/>
      <c r="Y31" s="6"/>
      <c r="Z31" s="4"/>
      <c r="AA31" s="7"/>
      <c r="AB31" s="7"/>
    </row>
    <row r="32" spans="1:28" x14ac:dyDescent="0.15">
      <c r="A32" s="4"/>
      <c r="B32" s="4"/>
      <c r="C32" s="4"/>
      <c r="D32" s="4"/>
      <c r="E32" s="5"/>
      <c r="F32" s="4"/>
      <c r="G32" s="4"/>
      <c r="H32" s="4"/>
      <c r="I32" s="4"/>
      <c r="J32" t="s">
        <v>64</v>
      </c>
      <c r="K32" s="2">
        <v>260</v>
      </c>
      <c r="L32" s="2">
        <v>210</v>
      </c>
      <c r="M32" s="2">
        <f t="shared" si="0"/>
        <v>50</v>
      </c>
      <c r="N32" s="2">
        <v>50</v>
      </c>
      <c r="O32" t="s">
        <v>44</v>
      </c>
      <c r="P32" s="2">
        <v>50</v>
      </c>
      <c r="Q32" s="2">
        <v>0</v>
      </c>
      <c r="T32" s="6"/>
      <c r="U32" s="6"/>
      <c r="V32" s="6"/>
      <c r="W32" s="6"/>
      <c r="X32" s="6"/>
      <c r="Y32" s="6"/>
      <c r="Z32" s="4"/>
      <c r="AA32" s="7"/>
      <c r="AB32" s="7"/>
    </row>
    <row r="33" spans="1:28" x14ac:dyDescent="0.15">
      <c r="A33" s="4"/>
      <c r="B33" s="4"/>
      <c r="C33" s="4"/>
      <c r="D33" s="4"/>
      <c r="E33" s="5"/>
      <c r="F33" s="4"/>
      <c r="G33" s="4"/>
      <c r="H33" s="4"/>
      <c r="I33" s="4"/>
      <c r="J33" t="s">
        <v>46</v>
      </c>
      <c r="K33" s="2">
        <v>60</v>
      </c>
      <c r="L33" s="2">
        <v>60</v>
      </c>
      <c r="M33" s="2">
        <f t="shared" si="0"/>
        <v>0</v>
      </c>
      <c r="N33" s="2">
        <v>0</v>
      </c>
      <c r="P33" s="2">
        <v>0</v>
      </c>
      <c r="Q33" s="2">
        <v>0</v>
      </c>
      <c r="T33" s="6"/>
      <c r="U33" s="6"/>
      <c r="V33" s="6"/>
      <c r="W33" s="6"/>
      <c r="X33" s="6"/>
      <c r="Y33" s="6"/>
      <c r="Z33" s="4"/>
      <c r="AA33" s="7"/>
      <c r="AB33" s="7"/>
    </row>
    <row r="34" spans="1:28" x14ac:dyDescent="0.15">
      <c r="A34" s="4"/>
      <c r="B34" s="4"/>
      <c r="C34" s="4"/>
      <c r="D34" s="4"/>
      <c r="E34" s="5"/>
      <c r="F34" s="4"/>
      <c r="G34" s="4"/>
      <c r="H34" s="4"/>
      <c r="I34" s="4"/>
      <c r="J34" t="s">
        <v>47</v>
      </c>
      <c r="K34" s="2">
        <v>10</v>
      </c>
      <c r="L34" s="2">
        <v>10</v>
      </c>
      <c r="M34" s="2">
        <f t="shared" si="0"/>
        <v>0</v>
      </c>
      <c r="N34" s="2">
        <v>0</v>
      </c>
      <c r="P34" s="2">
        <v>0</v>
      </c>
      <c r="Q34" s="2">
        <v>0</v>
      </c>
      <c r="T34" s="6"/>
      <c r="U34" s="6"/>
      <c r="V34" s="6"/>
      <c r="W34" s="6"/>
      <c r="X34" s="6"/>
      <c r="Y34" s="6"/>
      <c r="Z34" s="4"/>
      <c r="AA34" s="7"/>
      <c r="AB34" s="7"/>
    </row>
    <row r="35" spans="1:28" x14ac:dyDescent="0.15">
      <c r="A35" s="4" t="s">
        <v>77</v>
      </c>
      <c r="B35" s="4" t="s">
        <v>78</v>
      </c>
      <c r="C35" s="4" t="s">
        <v>78</v>
      </c>
      <c r="D35" s="4" t="s">
        <v>30</v>
      </c>
      <c r="E35" s="5">
        <v>45901</v>
      </c>
      <c r="F35" s="4" t="s">
        <v>51</v>
      </c>
      <c r="G35" s="4" t="s">
        <v>52</v>
      </c>
      <c r="H35" s="4" t="s">
        <v>53</v>
      </c>
      <c r="I35" s="4" t="s">
        <v>33</v>
      </c>
      <c r="J35" t="s">
        <v>46</v>
      </c>
      <c r="K35" s="2">
        <v>60</v>
      </c>
      <c r="L35" s="2">
        <v>60</v>
      </c>
      <c r="M35" s="2">
        <f t="shared" si="0"/>
        <v>0</v>
      </c>
      <c r="N35" s="2">
        <v>0</v>
      </c>
      <c r="P35" s="2">
        <v>0</v>
      </c>
      <c r="Q35" s="2">
        <v>0</v>
      </c>
      <c r="T35" s="6">
        <v>90</v>
      </c>
      <c r="U35" s="6">
        <v>0</v>
      </c>
      <c r="V35" s="6">
        <v>90</v>
      </c>
      <c r="W35" s="6">
        <v>100</v>
      </c>
      <c r="X35" s="6">
        <v>90</v>
      </c>
      <c r="Y35" s="6">
        <v>100</v>
      </c>
      <c r="Z35" s="4" t="s">
        <v>36</v>
      </c>
      <c r="AA35" s="7">
        <v>45902.475590277798</v>
      </c>
      <c r="AB35" s="7">
        <v>45902.475590277798</v>
      </c>
    </row>
    <row r="36" spans="1:28" x14ac:dyDescent="0.15">
      <c r="A36" s="4"/>
      <c r="B36" s="4"/>
      <c r="C36" s="4"/>
      <c r="D36" s="4"/>
      <c r="E36" s="5"/>
      <c r="F36" s="4"/>
      <c r="G36" s="4"/>
      <c r="H36" s="4"/>
      <c r="I36" s="4"/>
      <c r="J36" t="s">
        <v>47</v>
      </c>
      <c r="K36" s="2">
        <v>30</v>
      </c>
      <c r="L36" s="2">
        <v>30</v>
      </c>
      <c r="M36" s="2">
        <f t="shared" si="0"/>
        <v>0</v>
      </c>
      <c r="N36" s="2">
        <v>0</v>
      </c>
      <c r="P36" s="2">
        <v>0</v>
      </c>
      <c r="Q36" s="2">
        <v>0</v>
      </c>
      <c r="T36" s="6"/>
      <c r="U36" s="6"/>
      <c r="V36" s="6"/>
      <c r="W36" s="6"/>
      <c r="X36" s="6"/>
      <c r="Y36" s="6"/>
      <c r="Z36" s="4"/>
      <c r="AA36" s="7"/>
      <c r="AB36" s="7"/>
    </row>
    <row r="37" spans="1:28" x14ac:dyDescent="0.15">
      <c r="A37" s="4" t="s">
        <v>79</v>
      </c>
      <c r="B37" s="4" t="s">
        <v>80</v>
      </c>
      <c r="C37" s="4" t="s">
        <v>80</v>
      </c>
      <c r="D37" s="4" t="s">
        <v>30</v>
      </c>
      <c r="E37" s="5">
        <v>45901</v>
      </c>
      <c r="F37" s="4" t="s">
        <v>51</v>
      </c>
      <c r="G37" s="4" t="s">
        <v>59</v>
      </c>
      <c r="H37" s="4" t="s">
        <v>53</v>
      </c>
      <c r="I37" s="4" t="s">
        <v>33</v>
      </c>
      <c r="J37" t="s">
        <v>43</v>
      </c>
      <c r="K37" s="2">
        <v>1450</v>
      </c>
      <c r="L37" s="2">
        <v>1450</v>
      </c>
      <c r="M37" s="2">
        <f t="shared" si="0"/>
        <v>0</v>
      </c>
      <c r="N37" s="2">
        <v>0</v>
      </c>
      <c r="P37" s="2">
        <v>0</v>
      </c>
      <c r="Q37" s="2">
        <v>0</v>
      </c>
      <c r="T37" s="6">
        <v>2230</v>
      </c>
      <c r="U37" s="6">
        <v>30</v>
      </c>
      <c r="V37" s="6">
        <v>2200</v>
      </c>
      <c r="W37" s="6">
        <v>98.65</v>
      </c>
      <c r="X37" s="6">
        <v>2230</v>
      </c>
      <c r="Y37" s="6">
        <v>100</v>
      </c>
      <c r="Z37" s="4" t="s">
        <v>36</v>
      </c>
      <c r="AA37" s="7">
        <v>45902.475428240701</v>
      </c>
      <c r="AB37" s="7">
        <v>45902.475428240701</v>
      </c>
    </row>
    <row r="38" spans="1:28" x14ac:dyDescent="0.15">
      <c r="A38" s="4"/>
      <c r="B38" s="4"/>
      <c r="C38" s="4"/>
      <c r="D38" s="4"/>
      <c r="E38" s="5"/>
      <c r="F38" s="4"/>
      <c r="G38" s="4"/>
      <c r="H38" s="4"/>
      <c r="I38" s="4"/>
      <c r="J38" t="s">
        <v>45</v>
      </c>
      <c r="K38" s="2">
        <v>450</v>
      </c>
      <c r="L38" s="2">
        <v>450</v>
      </c>
      <c r="M38" s="2">
        <f t="shared" si="0"/>
        <v>0</v>
      </c>
      <c r="N38" s="2">
        <v>0</v>
      </c>
      <c r="P38" s="2">
        <v>0</v>
      </c>
      <c r="Q38" s="2">
        <v>0</v>
      </c>
      <c r="T38" s="6"/>
      <c r="U38" s="6"/>
      <c r="V38" s="6"/>
      <c r="W38" s="6"/>
      <c r="X38" s="6"/>
      <c r="Y38" s="6"/>
      <c r="Z38" s="4"/>
      <c r="AA38" s="7"/>
      <c r="AB38" s="7"/>
    </row>
    <row r="39" spans="1:28" x14ac:dyDescent="0.15">
      <c r="A39" s="4"/>
      <c r="B39" s="4"/>
      <c r="C39" s="4"/>
      <c r="D39" s="4"/>
      <c r="E39" s="5"/>
      <c r="F39" s="4"/>
      <c r="G39" s="4"/>
      <c r="H39" s="4"/>
      <c r="I39" s="4"/>
      <c r="J39" t="s">
        <v>63</v>
      </c>
      <c r="K39" s="2">
        <v>30</v>
      </c>
      <c r="L39" s="2">
        <v>30</v>
      </c>
      <c r="M39" s="2">
        <f t="shared" si="0"/>
        <v>0</v>
      </c>
      <c r="N39" s="2">
        <v>0</v>
      </c>
      <c r="P39" s="2">
        <v>0</v>
      </c>
      <c r="Q39" s="2">
        <v>0</v>
      </c>
      <c r="T39" s="6"/>
      <c r="U39" s="6"/>
      <c r="V39" s="6"/>
      <c r="W39" s="6"/>
      <c r="X39" s="6"/>
      <c r="Y39" s="6"/>
      <c r="Z39" s="4"/>
      <c r="AA39" s="7"/>
      <c r="AB39" s="7"/>
    </row>
    <row r="40" spans="1:28" x14ac:dyDescent="0.15">
      <c r="A40" s="4"/>
      <c r="B40" s="4"/>
      <c r="C40" s="4"/>
      <c r="D40" s="4"/>
      <c r="E40" s="5"/>
      <c r="F40" s="4"/>
      <c r="G40" s="4"/>
      <c r="H40" s="4"/>
      <c r="I40" s="4"/>
      <c r="J40" t="s">
        <v>64</v>
      </c>
      <c r="K40" s="2">
        <v>300</v>
      </c>
      <c r="L40" s="2">
        <v>270</v>
      </c>
      <c r="M40" s="2">
        <f t="shared" si="0"/>
        <v>30</v>
      </c>
      <c r="N40" s="2">
        <v>30</v>
      </c>
      <c r="O40" t="s">
        <v>62</v>
      </c>
      <c r="P40" s="2">
        <v>30</v>
      </c>
      <c r="Q40" s="2">
        <v>0</v>
      </c>
      <c r="T40" s="6"/>
      <c r="U40" s="6"/>
      <c r="V40" s="6"/>
      <c r="W40" s="6"/>
      <c r="X40" s="6"/>
      <c r="Y40" s="6"/>
      <c r="Z40" s="4"/>
      <c r="AA40" s="7"/>
      <c r="AB40" s="7"/>
    </row>
    <row r="41" spans="1:28" x14ac:dyDescent="0.15">
      <c r="A41" s="4" t="s">
        <v>81</v>
      </c>
      <c r="B41" s="4" t="s">
        <v>82</v>
      </c>
      <c r="C41" s="4" t="s">
        <v>82</v>
      </c>
      <c r="D41" s="4" t="s">
        <v>30</v>
      </c>
      <c r="E41" s="5">
        <v>45901</v>
      </c>
      <c r="F41" s="4" t="s">
        <v>67</v>
      </c>
      <c r="G41" s="4"/>
      <c r="H41" s="4" t="s">
        <v>68</v>
      </c>
      <c r="I41" s="4" t="s">
        <v>33</v>
      </c>
      <c r="J41" t="s">
        <v>69</v>
      </c>
      <c r="K41" s="2">
        <v>680</v>
      </c>
      <c r="L41" s="2">
        <v>670</v>
      </c>
      <c r="M41" s="2">
        <f t="shared" si="0"/>
        <v>10</v>
      </c>
      <c r="N41" s="2">
        <v>10</v>
      </c>
      <c r="O41" t="s">
        <v>83</v>
      </c>
      <c r="P41" s="2">
        <v>10</v>
      </c>
      <c r="Q41" s="2">
        <v>0</v>
      </c>
      <c r="T41" s="6">
        <v>910</v>
      </c>
      <c r="U41" s="6">
        <v>10</v>
      </c>
      <c r="V41" s="6">
        <v>900</v>
      </c>
      <c r="W41" s="6">
        <v>98.9</v>
      </c>
      <c r="X41" s="6">
        <v>910</v>
      </c>
      <c r="Y41" s="6">
        <v>100</v>
      </c>
      <c r="Z41" s="4" t="s">
        <v>36</v>
      </c>
      <c r="AA41" s="7">
        <v>45902.475150462997</v>
      </c>
      <c r="AB41" s="7">
        <v>45902.475150462997</v>
      </c>
    </row>
    <row r="42" spans="1:28" x14ac:dyDescent="0.15">
      <c r="A42" s="4"/>
      <c r="B42" s="4"/>
      <c r="C42" s="4"/>
      <c r="D42" s="4"/>
      <c r="E42" s="5"/>
      <c r="F42" s="4"/>
      <c r="G42" s="4"/>
      <c r="H42" s="4"/>
      <c r="I42" s="4"/>
      <c r="J42" t="s">
        <v>70</v>
      </c>
      <c r="K42" s="2">
        <v>30</v>
      </c>
      <c r="L42" s="2">
        <v>30</v>
      </c>
      <c r="M42" s="2">
        <f t="shared" si="0"/>
        <v>0</v>
      </c>
      <c r="N42" s="2">
        <v>0</v>
      </c>
      <c r="P42" s="2">
        <v>0</v>
      </c>
      <c r="Q42" s="2">
        <v>0</v>
      </c>
      <c r="T42" s="6"/>
      <c r="U42" s="6"/>
      <c r="V42" s="6"/>
      <c r="W42" s="6"/>
      <c r="X42" s="6"/>
      <c r="Y42" s="6"/>
      <c r="Z42" s="4"/>
      <c r="AA42" s="7"/>
      <c r="AB42" s="7"/>
    </row>
    <row r="43" spans="1:28" x14ac:dyDescent="0.15">
      <c r="A43" s="4"/>
      <c r="B43" s="4"/>
      <c r="C43" s="4"/>
      <c r="D43" s="4"/>
      <c r="E43" s="5"/>
      <c r="F43" s="4"/>
      <c r="G43" s="4"/>
      <c r="H43" s="4"/>
      <c r="I43" s="4"/>
      <c r="J43" t="s">
        <v>46</v>
      </c>
      <c r="K43" s="2">
        <v>170</v>
      </c>
      <c r="L43" s="2">
        <v>170</v>
      </c>
      <c r="M43" s="2">
        <f t="shared" si="0"/>
        <v>0</v>
      </c>
      <c r="N43" s="2">
        <v>0</v>
      </c>
      <c r="P43" s="2">
        <v>0</v>
      </c>
      <c r="Q43" s="2">
        <v>0</v>
      </c>
      <c r="T43" s="6"/>
      <c r="U43" s="6"/>
      <c r="V43" s="6"/>
      <c r="W43" s="6"/>
      <c r="X43" s="6"/>
      <c r="Y43" s="6"/>
      <c r="Z43" s="4"/>
      <c r="AA43" s="7"/>
      <c r="AB43" s="7"/>
    </row>
    <row r="44" spans="1:28" x14ac:dyDescent="0.15">
      <c r="A44" s="4"/>
      <c r="B44" s="4"/>
      <c r="C44" s="4"/>
      <c r="D44" s="4"/>
      <c r="E44" s="5"/>
      <c r="F44" s="4"/>
      <c r="G44" s="4"/>
      <c r="H44" s="4"/>
      <c r="I44" s="4"/>
      <c r="J44" t="s">
        <v>47</v>
      </c>
      <c r="K44" s="2">
        <v>30</v>
      </c>
      <c r="L44" s="2">
        <v>30</v>
      </c>
      <c r="M44" s="2">
        <f t="shared" si="0"/>
        <v>0</v>
      </c>
      <c r="N44" s="2">
        <v>0</v>
      </c>
      <c r="P44" s="2">
        <v>0</v>
      </c>
      <c r="Q44" s="2">
        <v>0</v>
      </c>
      <c r="T44" s="6"/>
      <c r="U44" s="6"/>
      <c r="V44" s="6"/>
      <c r="W44" s="6"/>
      <c r="X44" s="6"/>
      <c r="Y44" s="6"/>
      <c r="Z44" s="4"/>
      <c r="AA44" s="7"/>
      <c r="AB44" s="7"/>
    </row>
  </sheetData>
  <mergeCells count="163">
    <mergeCell ref="AB1:AB2"/>
    <mergeCell ref="AB4:AB10"/>
    <mergeCell ref="AB11:AB12"/>
    <mergeCell ref="AB14:AB20"/>
    <mergeCell ref="AB21:AB24"/>
    <mergeCell ref="AB26:AB34"/>
    <mergeCell ref="AB35:AB36"/>
    <mergeCell ref="AB37:AB40"/>
    <mergeCell ref="AB41:AB44"/>
    <mergeCell ref="AA1:AA2"/>
    <mergeCell ref="AA4:AA10"/>
    <mergeCell ref="AA11:AA12"/>
    <mergeCell ref="AA14:AA20"/>
    <mergeCell ref="AA21:AA24"/>
    <mergeCell ref="AA26:AA34"/>
    <mergeCell ref="AA35:AA36"/>
    <mergeCell ref="AA37:AA40"/>
    <mergeCell ref="AA41:AA44"/>
    <mergeCell ref="Z1:Z2"/>
    <mergeCell ref="Z4:Z10"/>
    <mergeCell ref="Z11:Z12"/>
    <mergeCell ref="Z14:Z20"/>
    <mergeCell ref="Z21:Z24"/>
    <mergeCell ref="Z26:Z34"/>
    <mergeCell ref="Z35:Z36"/>
    <mergeCell ref="Z37:Z40"/>
    <mergeCell ref="Z41:Z44"/>
    <mergeCell ref="Y1:Y2"/>
    <mergeCell ref="Y4:Y10"/>
    <mergeCell ref="Y11:Y12"/>
    <mergeCell ref="Y14:Y20"/>
    <mergeCell ref="Y21:Y24"/>
    <mergeCell ref="Y26:Y34"/>
    <mergeCell ref="Y35:Y36"/>
    <mergeCell ref="Y37:Y40"/>
    <mergeCell ref="Y41:Y44"/>
    <mergeCell ref="X1:X2"/>
    <mergeCell ref="X4:X10"/>
    <mergeCell ref="X11:X12"/>
    <mergeCell ref="X14:X20"/>
    <mergeCell ref="X21:X24"/>
    <mergeCell ref="X26:X34"/>
    <mergeCell ref="X35:X36"/>
    <mergeCell ref="X37:X40"/>
    <mergeCell ref="X41:X44"/>
    <mergeCell ref="W1:W2"/>
    <mergeCell ref="W4:W10"/>
    <mergeCell ref="W11:W12"/>
    <mergeCell ref="W14:W20"/>
    <mergeCell ref="W21:W24"/>
    <mergeCell ref="W26:W34"/>
    <mergeCell ref="W35:W36"/>
    <mergeCell ref="W37:W40"/>
    <mergeCell ref="W41:W44"/>
    <mergeCell ref="V1:V2"/>
    <mergeCell ref="V4:V10"/>
    <mergeCell ref="V11:V12"/>
    <mergeCell ref="V14:V20"/>
    <mergeCell ref="V21:V24"/>
    <mergeCell ref="V26:V34"/>
    <mergeCell ref="V35:V36"/>
    <mergeCell ref="V37:V40"/>
    <mergeCell ref="V41:V44"/>
    <mergeCell ref="U1:U2"/>
    <mergeCell ref="U4:U10"/>
    <mergeCell ref="U11:U12"/>
    <mergeCell ref="U14:U20"/>
    <mergeCell ref="U21:U24"/>
    <mergeCell ref="U26:U34"/>
    <mergeCell ref="U35:U36"/>
    <mergeCell ref="U37:U40"/>
    <mergeCell ref="U41:U44"/>
    <mergeCell ref="T1:T2"/>
    <mergeCell ref="T4:T10"/>
    <mergeCell ref="T11:T12"/>
    <mergeCell ref="T14:T20"/>
    <mergeCell ref="T21:T24"/>
    <mergeCell ref="T26:T34"/>
    <mergeCell ref="T35:T36"/>
    <mergeCell ref="T37:T40"/>
    <mergeCell ref="T41:T44"/>
    <mergeCell ref="I1:I2"/>
    <mergeCell ref="I4:I10"/>
    <mergeCell ref="I11:I12"/>
    <mergeCell ref="I14:I20"/>
    <mergeCell ref="I21:I24"/>
    <mergeCell ref="I26:I34"/>
    <mergeCell ref="I35:I36"/>
    <mergeCell ref="I37:I40"/>
    <mergeCell ref="I41:I44"/>
    <mergeCell ref="H1:H2"/>
    <mergeCell ref="H4:H10"/>
    <mergeCell ref="H11:H12"/>
    <mergeCell ref="H14:H20"/>
    <mergeCell ref="H21:H24"/>
    <mergeCell ref="H26:H34"/>
    <mergeCell ref="H35:H36"/>
    <mergeCell ref="H37:H40"/>
    <mergeCell ref="H41:H44"/>
    <mergeCell ref="G1:G2"/>
    <mergeCell ref="G4:G10"/>
    <mergeCell ref="G11:G12"/>
    <mergeCell ref="G14:G20"/>
    <mergeCell ref="G21:G24"/>
    <mergeCell ref="G26:G34"/>
    <mergeCell ref="G35:G36"/>
    <mergeCell ref="G37:G40"/>
    <mergeCell ref="G41:G44"/>
    <mergeCell ref="E37:E40"/>
    <mergeCell ref="E41:E44"/>
    <mergeCell ref="F1:F2"/>
    <mergeCell ref="F4:F10"/>
    <mergeCell ref="F11:F12"/>
    <mergeCell ref="F14:F20"/>
    <mergeCell ref="F21:F24"/>
    <mergeCell ref="F26:F34"/>
    <mergeCell ref="F35:F36"/>
    <mergeCell ref="F37:F40"/>
    <mergeCell ref="F41:F44"/>
    <mergeCell ref="C41:C44"/>
    <mergeCell ref="D1:D2"/>
    <mergeCell ref="D4:D10"/>
    <mergeCell ref="D11:D12"/>
    <mergeCell ref="D14:D20"/>
    <mergeCell ref="D21:D24"/>
    <mergeCell ref="D26:D34"/>
    <mergeCell ref="D35:D36"/>
    <mergeCell ref="D37:D40"/>
    <mergeCell ref="D41:D44"/>
    <mergeCell ref="A41:A44"/>
    <mergeCell ref="B1:B2"/>
    <mergeCell ref="B4:B10"/>
    <mergeCell ref="B11:B12"/>
    <mergeCell ref="B14:B20"/>
    <mergeCell ref="B21:B24"/>
    <mergeCell ref="B26:B34"/>
    <mergeCell ref="B35:B36"/>
    <mergeCell ref="B37:B40"/>
    <mergeCell ref="B41:B44"/>
    <mergeCell ref="J1:S1"/>
    <mergeCell ref="A1:A2"/>
    <mergeCell ref="A4:A10"/>
    <mergeCell ref="A11:A12"/>
    <mergeCell ref="A14:A20"/>
    <mergeCell ref="A21:A24"/>
    <mergeCell ref="A26:A34"/>
    <mergeCell ref="A35:A36"/>
    <mergeCell ref="A37:A40"/>
    <mergeCell ref="C1:C2"/>
    <mergeCell ref="C4:C10"/>
    <mergeCell ref="C11:C12"/>
    <mergeCell ref="C14:C20"/>
    <mergeCell ref="C21:C24"/>
    <mergeCell ref="C26:C34"/>
    <mergeCell ref="C35:C36"/>
    <mergeCell ref="C37:C40"/>
    <mergeCell ref="E1:E2"/>
    <mergeCell ref="E4:E10"/>
    <mergeCell ref="E11:E12"/>
    <mergeCell ref="E14:E20"/>
    <mergeCell ref="E21:E24"/>
    <mergeCell ref="E26:E34"/>
    <mergeCell ref="E35:E36"/>
  </mergeCells>
  <phoneticPr fontId="1" type="noConversion"/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冲压事业部检验日报表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excel-export@https://www.jiandaoyun.com</dc:creator>
  <cp:lastModifiedBy>222 zhang</cp:lastModifiedBy>
  <dcterms:created xsi:type="dcterms:W3CDTF">2025-09-03T08:23:00Z</dcterms:created>
  <dcterms:modified xsi:type="dcterms:W3CDTF">2026-03-14T05:43:56Z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DBCAB7C64EB9411F99C7D25FFA24D7A3_13</vt:lpwstr>
  </property>
  <property fmtid="{D5CDD505-2E9C-101B-9397-08002B2CF9AE}" pid="3" name="KSOProductBuildVer">
    <vt:lpwstr>2052-12.1.0.18608</vt:lpwstr>
  </property>
</Properties>
</file>