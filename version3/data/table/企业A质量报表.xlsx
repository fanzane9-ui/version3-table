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6.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<sst xmlns="http://schemas.openxmlformats.org/spreadsheetml/2006/main" count="114" uniqueCount="68">
  <si>
    <t xml:space="preserve">LED 制程检验记录表      </t>
  </si>
  <si>
    <t>序号</t>
  </si>
  <si>
    <t>日期</t>
  </si>
  <si>
    <t>组别</t>
  </si>
  <si>
    <t>物料名称</t>
  </si>
  <si>
    <t>计划数量</t>
  </si>
  <si>
    <t>不合格数量</t>
  </si>
  <si>
    <t>不良率</t>
  </si>
  <si>
    <t>不良现象描述</t>
  </si>
  <si>
    <t>透镜</t>
  </si>
  <si>
    <t>外加工</t>
  </si>
  <si>
    <t>贴片</t>
  </si>
  <si>
    <t>线束</t>
  </si>
  <si>
    <t>模组</t>
  </si>
  <si>
    <t>划伤</t>
  </si>
  <si>
    <t>变形</t>
  </si>
  <si>
    <t>断脚</t>
  </si>
  <si>
    <t>指纹</t>
  </si>
  <si>
    <t>压膜</t>
  </si>
  <si>
    <t>灰尘/脏污</t>
  </si>
  <si>
    <t>其他</t>
  </si>
  <si>
    <t>端子穿错</t>
  </si>
  <si>
    <t>端子脱落</t>
  </si>
  <si>
    <t>端子压接不良</t>
  </si>
  <si>
    <t>防水帽漏装/装反</t>
  </si>
  <si>
    <t>露线</t>
  </si>
  <si>
    <t>作业不良</t>
  </si>
  <si>
    <t>断路</t>
  </si>
  <si>
    <t>短路</t>
  </si>
  <si>
    <t>灯珠破损</t>
  </si>
  <si>
    <t>漏打螺丝</t>
  </si>
  <si>
    <t>线位焊错</t>
  </si>
  <si>
    <t>掉线</t>
  </si>
  <si>
    <t>15组</t>
  </si>
  <si>
    <t>G373-TL208透镜大灯（插件）线[模组]</t>
  </si>
  <si>
    <t>后尾灯（YD）[模组]</t>
  </si>
  <si>
    <t>G177日行灯[模组]</t>
  </si>
  <si>
    <t>N110日行灯模组</t>
  </si>
  <si>
    <t>N110后尾灯模组</t>
  </si>
  <si>
    <t>N110后右转向灯模组</t>
  </si>
  <si>
    <t>N110后左转向灯模组</t>
  </si>
  <si>
    <t>A075右转向灯模组</t>
  </si>
  <si>
    <t>A075左转向灯模组</t>
  </si>
  <si>
    <t>A075大灯模组</t>
  </si>
  <si>
    <t>A9-2大灯模组</t>
  </si>
  <si>
    <t>GE6面板射灯模组</t>
  </si>
  <si>
    <t>GN140后尾灯模组</t>
  </si>
  <si>
    <t>GN140后右转向灯模组</t>
  </si>
  <si>
    <t>GN140后左转向灯模组</t>
  </si>
  <si>
    <t>GN140日行灯模组</t>
  </si>
  <si>
    <t>Z02前右转向灯模组</t>
  </si>
  <si>
    <t>Z02前左转向灯模组</t>
  </si>
  <si>
    <t>N110前右转向灯模组</t>
  </si>
  <si>
    <t>N110前左转向灯模组</t>
  </si>
  <si>
    <t>24D13日行灯模组</t>
  </si>
  <si>
    <t>24D04日行灯模组</t>
  </si>
  <si>
    <t>通用射灯[模组]</t>
  </si>
  <si>
    <t>Q1前右转向灯[模组]</t>
  </si>
  <si>
    <t>Q1前左转向灯[模组]</t>
  </si>
  <si>
    <t>Z1后尾灯[模组]</t>
  </si>
  <si>
    <t>Z1前右转向灯[模组]</t>
  </si>
  <si>
    <t>Z1前左转向灯[模组]</t>
  </si>
  <si>
    <t>迭代前日行灯模组</t>
  </si>
  <si>
    <t>3.0前左转向灯[模组]</t>
  </si>
  <si>
    <t>3.0前右转向灯[模组]</t>
  </si>
  <si>
    <t>3.0后左转向灯[模组]</t>
  </si>
  <si>
    <t>3.0后右转向灯[模组]</t>
  </si>
  <si>
    <t>A020后尾灯模组（防水插件）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</si>
</sst>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/?"/>
  </numFmts>
  <fonts count="28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9"/>
      <name val="宋体"/>
      <charset val="134"/>
    </font>
    <font>
      <b/>
      <sz val="14"/>
      <color theme="1"/>
      <name val="黑体"/>
      <charset val="134"/>
    </font>
    <font>
      <sz val="11"/>
      <color theme="1"/>
      <name val="宋体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10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justify" vertical="center"/>
    </xf>
    <xf numFmtId="0" fontId="3" fillId="0" borderId="0" xfId="0" applyFont="1" applyFill="1" applyBorder="1" applyAlignment="1">
      <alignment vertical="center"/>
    </xf>
    <xf numFmtId="10" fontId="4" fillId="0" borderId="0" xfId="3" applyNumberFormat="1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10" fontId="5" fillId="0" borderId="1" xfId="0" applyNumberFormat="1" applyFont="1" applyFill="1" applyBorder="1" applyAlignment="1">
      <alignment horizontal="center" vertical="center" wrapText="1"/>
    </xf>
    <xf numFmtId="10" fontId="5" fillId="0" borderId="0" xfId="0" applyNumberFormat="1" applyFont="1" applyFill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76" fontId="7" fillId="0" borderId="2" xfId="0" applyNumberFormat="1" applyFont="1" applyFill="1" applyBorder="1" applyAlignment="1">
      <alignment horizontal="justify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10" fontId="7" fillId="0" borderId="2" xfId="3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176" fontId="7" fillId="0" borderId="3" xfId="0" applyNumberFormat="1" applyFont="1" applyFill="1" applyBorder="1" applyAlignment="1">
      <alignment horizontal="justify" vertical="center"/>
    </xf>
    <xf numFmtId="0" fontId="7" fillId="0" borderId="3" xfId="0" applyFont="1" applyFill="1" applyBorder="1" applyAlignment="1">
      <alignment horizontal="center" vertical="center" wrapText="1"/>
    </xf>
    <xf numFmtId="10" fontId="7" fillId="0" borderId="3" xfId="3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58" fontId="1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vertical="center"/>
    </xf>
    <xf numFmtId="3" fontId="8" fillId="0" borderId="2" xfId="0" applyNumberFormat="1" applyFont="1" applyFill="1" applyBorder="1" applyAlignment="1"/>
    <xf numFmtId="0" fontId="1" fillId="0" borderId="2" xfId="0" applyFont="1" applyFill="1" applyBorder="1" applyAlignment="1">
      <alignment horizontal="center" vertical="center"/>
    </xf>
    <xf numFmtId="10" fontId="1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0" fontId="1" fillId="0" borderId="0" xfId="0" applyNumberFormat="1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65"/>
  <sheetViews>
    <sheetView tabSelected="1" workbookViewId="0">
      <selection activeCell="K37" sqref="K37"/>
    </sheetView>
  </sheetViews>
  <sheetFormatPr defaultColWidth="9" defaultRowHeight="15.75"/>
  <cols>
    <col min="1" max="1" width="3.3716814159292" style="3" customWidth="1"/>
    <col min="2" max="2" width="9" style="4" customWidth="1"/>
    <col min="3" max="3" width="5.85840707964602" style="4" customWidth="1"/>
    <col min="4" max="4" width="27.8761061946903" style="5" customWidth="1"/>
    <col min="5" max="5" width="7.76991150442478" style="1" customWidth="1"/>
    <col min="6" max="6" width="4.0353982300885" style="1" customWidth="1"/>
    <col min="7" max="7" width="6.3716814159292" style="6" customWidth="1"/>
    <col min="8" max="10" width="3.84070796460177" style="7" customWidth="1"/>
    <col min="11" max="11" width="4.12389380530973" style="7" customWidth="1"/>
    <col min="12" max="12" width="3.75221238938053" style="7" customWidth="1"/>
    <col min="13" max="14" width="3.87610619469027" style="7" customWidth="1"/>
    <col min="15" max="15" width="3.75221238938053" style="7" customWidth="1"/>
    <col min="16" max="16" width="3.84070796460177" style="7" customWidth="1"/>
    <col min="17" max="17" width="4.3716814159292" style="7" customWidth="1"/>
    <col min="18" max="18" width="5" style="1" customWidth="1"/>
    <col min="19" max="19" width="4" style="8" customWidth="1"/>
    <col min="20" max="20" width="3.6283185840708" style="7" customWidth="1"/>
    <col min="21" max="21" width="4.12389380530973" style="7" customWidth="1"/>
    <col min="22" max="22" width="3.6283185840708" style="7" customWidth="1"/>
    <col min="23" max="24" width="3.75221238938053" style="7" customWidth="1"/>
    <col min="25" max="25" width="5.64601769911504" style="7" customWidth="1"/>
    <col min="26" max="26" width="5.1858407079646" style="1" customWidth="1"/>
    <col min="27" max="27" width="4.3716814159292" style="7" customWidth="1"/>
    <col min="28" max="28" width="5" style="1" customWidth="1"/>
    <col min="29" max="30" width="4" style="1" customWidth="1"/>
    <col min="31" max="31" width="4.6283185840708" style="1" customWidth="1"/>
    <col min="32" max="32" width="5" style="1" customWidth="1"/>
    <col min="33" max="33" width="4.87610619469027" style="1" customWidth="1"/>
    <col min="34" max="34" width="3.87610619469027" style="1" customWidth="1"/>
    <col min="35" max="35" width="3.6283185840708" style="1" customWidth="1"/>
    <col min="36" max="16384" width="9" style="1"/>
  </cols>
  <sheetData>
    <row r="1" s="1" customFormat="1" ht="25" customHeight="1" spans="1:3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 s="1" customFormat="1" spans="1:35">
      <c r="A2" s="11" t="s">
        <v>1</v>
      </c>
      <c r="B2" s="12" t="s">
        <v>2</v>
      </c>
      <c r="C2" s="13" t="s">
        <v>3</v>
      </c>
      <c r="D2" s="14" t="s">
        <v>4</v>
      </c>
      <c r="E2" s="14" t="s">
        <v>5</v>
      </c>
      <c r="F2" s="14" t="s">
        <v>6</v>
      </c>
      <c r="G2" s="15" t="s">
        <v>7</v>
      </c>
      <c r="H2" s="13" t="s">
        <v>8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4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 s="1" customFormat="1" ht="19" customHeight="1" spans="1:35">
      <c r="A3" s="11"/>
      <c r="B3" s="12"/>
      <c r="C3" s="13"/>
      <c r="D3" s="14"/>
      <c r="E3" s="14"/>
      <c r="F3" s="14"/>
      <c r="G3" s="15"/>
      <c r="H3" s="16" t="s">
        <v>9</v>
      </c>
      <c r="I3" s="16"/>
      <c r="J3" s="16"/>
      <c r="K3" s="16"/>
      <c r="L3" s="16"/>
      <c r="M3" s="16"/>
      <c r="N3" s="16"/>
      <c r="O3" s="29" t="s">
        <v>10</v>
      </c>
      <c r="P3" s="29"/>
      <c r="Q3" s="29"/>
      <c r="R3" s="30"/>
      <c r="S3" s="31"/>
      <c r="T3" s="29"/>
      <c r="U3" s="32" t="s">
        <v>11</v>
      </c>
      <c r="V3" s="32"/>
      <c r="W3" s="32"/>
      <c r="X3" s="32"/>
      <c r="Y3" s="30" t="s">
        <v>12</v>
      </c>
      <c r="Z3" s="30"/>
      <c r="AA3" s="29"/>
      <c r="AB3" s="30"/>
      <c r="AC3" s="30"/>
      <c r="AD3" s="30"/>
      <c r="AE3" s="34" t="s">
        <v>13</v>
      </c>
      <c r="AF3" s="34"/>
      <c r="AG3" s="34"/>
      <c r="AH3" s="34"/>
      <c r="AI3" s="34"/>
    </row>
    <row r="4" s="1" customFormat="1" ht="69" customHeight="1" spans="1:35">
      <c r="A4" s="17"/>
      <c r="B4" s="18"/>
      <c r="C4" s="19"/>
      <c r="D4" s="19"/>
      <c r="E4" s="19"/>
      <c r="F4" s="19"/>
      <c r="G4" s="20"/>
      <c r="H4" s="21" t="s">
        <v>14</v>
      </c>
      <c r="I4" s="21" t="s">
        <v>15</v>
      </c>
      <c r="J4" s="14" t="s">
        <v>16</v>
      </c>
      <c r="K4" s="14" t="s">
        <v>17</v>
      </c>
      <c r="L4" s="14" t="s">
        <v>18</v>
      </c>
      <c r="M4" s="14" t="s">
        <v>19</v>
      </c>
      <c r="N4" s="14" t="s">
        <v>20</v>
      </c>
      <c r="O4" s="21" t="s">
        <v>21</v>
      </c>
      <c r="P4" s="21" t="s">
        <v>22</v>
      </c>
      <c r="Q4" s="21" t="s">
        <v>23</v>
      </c>
      <c r="R4" s="21" t="s">
        <v>24</v>
      </c>
      <c r="S4" s="21" t="s">
        <v>25</v>
      </c>
      <c r="T4" s="21" t="s">
        <v>20</v>
      </c>
      <c r="U4" s="21" t="s">
        <v>26</v>
      </c>
      <c r="V4" s="21" t="s">
        <v>27</v>
      </c>
      <c r="W4" s="21" t="s">
        <v>28</v>
      </c>
      <c r="X4" s="21" t="s">
        <v>20</v>
      </c>
      <c r="Y4" s="21" t="s">
        <v>21</v>
      </c>
      <c r="Z4" s="21" t="s">
        <v>22</v>
      </c>
      <c r="AA4" s="21" t="s">
        <v>23</v>
      </c>
      <c r="AB4" s="21" t="s">
        <v>24</v>
      </c>
      <c r="AC4" s="21" t="s">
        <v>25</v>
      </c>
      <c r="AD4" s="14" t="s">
        <v>20</v>
      </c>
      <c r="AE4" s="14" t="s">
        <v>29</v>
      </c>
      <c r="AF4" s="14" t="s">
        <v>30</v>
      </c>
      <c r="AG4" s="14" t="s">
        <v>31</v>
      </c>
      <c r="AH4" s="21" t="s">
        <v>32</v>
      </c>
      <c r="AI4" s="14" t="s">
        <v>20</v>
      </c>
    </row>
    <row r="5" s="1" customFormat="1" ht="14.25" customHeight="1" spans="1:35">
      <c r="A5" s="1">
        <v>1</v>
      </c>
      <c r="B5" s="22">
        <v>45836</v>
      </c>
      <c r="C5" s="23" t="s">
        <v>33</v>
      </c>
      <c r="D5" s="23" t="s">
        <v>34</v>
      </c>
      <c r="E5" s="24">
        <v>50000</v>
      </c>
      <c r="F5" s="25">
        <f t="shared" ref="F5:F40" si="0">SUM(H5:AI5)</f>
        <v>0</v>
      </c>
      <c r="G5" s="26">
        <f t="shared" ref="G5:G40" si="1">F5/E5</f>
        <v>0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5"/>
      <c r="S5" s="33"/>
      <c r="T5" s="27"/>
      <c r="U5" s="27"/>
      <c r="V5" s="27"/>
      <c r="W5" s="27"/>
      <c r="X5" s="27"/>
      <c r="Y5" s="27"/>
      <c r="Z5" s="25"/>
      <c r="AA5" s="27"/>
      <c r="AB5" s="25"/>
      <c r="AC5" s="25"/>
      <c r="AD5" s="25"/>
      <c r="AE5" s="25"/>
      <c r="AF5" s="25"/>
      <c r="AG5" s="25"/>
      <c r="AH5" s="25"/>
      <c r="AI5" s="25"/>
    </row>
    <row r="6" s="1" customFormat="1" spans="1:35">
      <c r="A6" s="1">
        <v>2</v>
      </c>
      <c r="B6" s="22">
        <v>45836</v>
      </c>
      <c r="C6" s="23" t="s">
        <v>33</v>
      </c>
      <c r="D6" s="23" t="s">
        <v>35</v>
      </c>
      <c r="E6" s="24">
        <v>10000</v>
      </c>
      <c r="F6" s="25">
        <f t="shared" si="0"/>
        <v>1</v>
      </c>
      <c r="G6" s="26">
        <f t="shared" si="1"/>
        <v>0.0001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5"/>
      <c r="S6" s="33"/>
      <c r="T6" s="27"/>
      <c r="U6" s="27">
        <v>1</v>
      </c>
      <c r="V6" s="27"/>
      <c r="W6" s="27"/>
      <c r="X6" s="27"/>
      <c r="Y6" s="27"/>
      <c r="Z6" s="25"/>
      <c r="AA6" s="27"/>
      <c r="AB6" s="25"/>
      <c r="AC6" s="25"/>
      <c r="AD6" s="25"/>
      <c r="AE6" s="25"/>
      <c r="AF6" s="25"/>
      <c r="AG6" s="25"/>
      <c r="AH6" s="25"/>
      <c r="AI6" s="25"/>
    </row>
    <row r="7" s="1" customFormat="1" spans="1:35">
      <c r="A7" s="1">
        <v>3</v>
      </c>
      <c r="B7" s="22">
        <v>45836</v>
      </c>
      <c r="C7" s="23" t="s">
        <v>33</v>
      </c>
      <c r="D7" s="23" t="s">
        <v>36</v>
      </c>
      <c r="E7" s="24">
        <v>34000</v>
      </c>
      <c r="F7" s="25">
        <f t="shared" si="0"/>
        <v>0</v>
      </c>
      <c r="G7" s="26">
        <f t="shared" si="1"/>
        <v>0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5"/>
      <c r="S7" s="33"/>
      <c r="T7" s="27"/>
      <c r="U7" s="27"/>
      <c r="V7" s="27"/>
      <c r="W7" s="27"/>
      <c r="X7" s="27"/>
      <c r="Y7" s="27"/>
      <c r="Z7" s="25"/>
      <c r="AA7" s="27"/>
      <c r="AB7" s="25"/>
      <c r="AC7" s="25"/>
      <c r="AD7" s="25"/>
      <c r="AE7" s="25"/>
      <c r="AF7" s="25"/>
      <c r="AG7" s="25"/>
      <c r="AH7" s="25"/>
      <c r="AI7" s="25"/>
    </row>
    <row r="8" s="1" customFormat="1" spans="1:35">
      <c r="A8" s="1">
        <v>4</v>
      </c>
      <c r="B8" s="22">
        <v>45836</v>
      </c>
      <c r="C8" s="23" t="s">
        <v>33</v>
      </c>
      <c r="D8" s="23" t="s">
        <v>37</v>
      </c>
      <c r="E8" s="24">
        <v>20000</v>
      </c>
      <c r="F8" s="25">
        <f t="shared" si="0"/>
        <v>6</v>
      </c>
      <c r="G8" s="26">
        <f t="shared" si="1"/>
        <v>0.0003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5"/>
      <c r="S8" s="33"/>
      <c r="T8" s="27"/>
      <c r="U8" s="27"/>
      <c r="V8" s="27">
        <v>3</v>
      </c>
      <c r="W8" s="27"/>
      <c r="X8" s="27"/>
      <c r="Y8" s="27"/>
      <c r="Z8" s="25"/>
      <c r="AA8" s="27"/>
      <c r="AB8" s="25"/>
      <c r="AC8" s="25"/>
      <c r="AD8" s="25"/>
      <c r="AE8" s="25">
        <v>2</v>
      </c>
      <c r="AF8" s="25"/>
      <c r="AG8" s="25"/>
      <c r="AH8" s="25"/>
      <c r="AI8" s="25">
        <v>1</v>
      </c>
    </row>
    <row r="9" s="1" customFormat="1" spans="1:35">
      <c r="A9" s="1">
        <v>5</v>
      </c>
      <c r="B9" s="22">
        <v>45836</v>
      </c>
      <c r="C9" s="23" t="s">
        <v>33</v>
      </c>
      <c r="D9" s="23" t="s">
        <v>38</v>
      </c>
      <c r="E9" s="24">
        <v>20000</v>
      </c>
      <c r="F9" s="25">
        <f t="shared" si="0"/>
        <v>4</v>
      </c>
      <c r="G9" s="26">
        <f t="shared" si="1"/>
        <v>0.0002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5"/>
      <c r="S9" s="33"/>
      <c r="T9" s="27"/>
      <c r="U9" s="27">
        <v>1</v>
      </c>
      <c r="V9" s="27">
        <v>3</v>
      </c>
      <c r="W9" s="27"/>
      <c r="X9" s="27"/>
      <c r="Y9" s="27"/>
      <c r="Z9" s="25"/>
      <c r="AA9" s="27"/>
      <c r="AB9" s="25"/>
      <c r="AC9" s="25"/>
      <c r="AD9" s="25"/>
      <c r="AE9" s="25"/>
      <c r="AF9" s="25"/>
      <c r="AG9" s="25"/>
      <c r="AH9" s="25"/>
      <c r="AI9" s="25"/>
    </row>
    <row r="10" s="1" customFormat="1" spans="1:35">
      <c r="A10" s="1">
        <v>6</v>
      </c>
      <c r="B10" s="22">
        <v>45836</v>
      </c>
      <c r="C10" s="23" t="s">
        <v>33</v>
      </c>
      <c r="D10" s="23" t="s">
        <v>39</v>
      </c>
      <c r="E10" s="24">
        <v>20000</v>
      </c>
      <c r="F10" s="25">
        <f t="shared" si="0"/>
        <v>0</v>
      </c>
      <c r="G10" s="26">
        <f t="shared" si="1"/>
        <v>0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5"/>
      <c r="S10" s="33"/>
      <c r="T10" s="27"/>
      <c r="U10" s="27"/>
      <c r="V10" s="27"/>
      <c r="W10" s="27"/>
      <c r="X10" s="27"/>
      <c r="Y10" s="27"/>
      <c r="Z10" s="25"/>
      <c r="AA10" s="27"/>
      <c r="AB10" s="25"/>
      <c r="AC10" s="25"/>
      <c r="AD10" s="25"/>
      <c r="AE10" s="25"/>
      <c r="AF10" s="25"/>
      <c r="AG10" s="25"/>
      <c r="AH10" s="25"/>
      <c r="AI10" s="25"/>
    </row>
    <row r="11" s="1" customFormat="1" spans="1:35">
      <c r="A11" s="1">
        <v>7</v>
      </c>
      <c r="B11" s="22">
        <v>45836</v>
      </c>
      <c r="C11" s="23" t="s">
        <v>33</v>
      </c>
      <c r="D11" s="23" t="s">
        <v>40</v>
      </c>
      <c r="E11" s="24">
        <v>20000</v>
      </c>
      <c r="F11" s="25">
        <f t="shared" si="0"/>
        <v>0</v>
      </c>
      <c r="G11" s="26">
        <f t="shared" si="1"/>
        <v>0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5"/>
      <c r="S11" s="33"/>
      <c r="T11" s="27"/>
      <c r="U11" s="27"/>
      <c r="V11" s="27"/>
      <c r="W11" s="27"/>
      <c r="X11" s="27"/>
      <c r="Y11" s="27"/>
      <c r="Z11" s="25"/>
      <c r="AA11" s="27"/>
      <c r="AB11" s="25"/>
      <c r="AC11" s="25"/>
      <c r="AD11" s="25"/>
      <c r="AE11" s="25"/>
      <c r="AF11" s="25"/>
      <c r="AG11" s="25"/>
      <c r="AH11" s="25"/>
      <c r="AI11" s="25"/>
    </row>
    <row r="12" s="1" customFormat="1" spans="1:35">
      <c r="A12" s="1">
        <v>8</v>
      </c>
      <c r="B12" s="22">
        <v>45836</v>
      </c>
      <c r="C12" s="23" t="s">
        <v>33</v>
      </c>
      <c r="D12" s="23" t="s">
        <v>41</v>
      </c>
      <c r="E12" s="24">
        <v>10000</v>
      </c>
      <c r="F12" s="25">
        <f t="shared" si="0"/>
        <v>0</v>
      </c>
      <c r="G12" s="26">
        <f t="shared" si="1"/>
        <v>0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5"/>
      <c r="S12" s="33"/>
      <c r="T12" s="27"/>
      <c r="U12" s="27"/>
      <c r="V12" s="27"/>
      <c r="W12" s="27"/>
      <c r="X12" s="27"/>
      <c r="Y12" s="27"/>
      <c r="Z12" s="25"/>
      <c r="AA12" s="27"/>
      <c r="AB12" s="25"/>
      <c r="AC12" s="25"/>
      <c r="AD12" s="25"/>
      <c r="AE12" s="25"/>
      <c r="AF12" s="25"/>
      <c r="AG12" s="25"/>
      <c r="AH12" s="25"/>
      <c r="AI12" s="25"/>
    </row>
    <row r="13" s="1" customFormat="1" spans="1:35">
      <c r="A13" s="1">
        <v>9</v>
      </c>
      <c r="B13" s="22">
        <v>45836</v>
      </c>
      <c r="C13" s="23" t="s">
        <v>33</v>
      </c>
      <c r="D13" s="23" t="s">
        <v>42</v>
      </c>
      <c r="E13" s="24">
        <v>10000</v>
      </c>
      <c r="F13" s="25">
        <f t="shared" si="0"/>
        <v>0</v>
      </c>
      <c r="G13" s="26">
        <f t="shared" si="1"/>
        <v>0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5"/>
      <c r="S13" s="33"/>
      <c r="T13" s="27"/>
      <c r="U13" s="27"/>
      <c r="V13" s="27"/>
      <c r="W13" s="27"/>
      <c r="X13" s="27"/>
      <c r="Y13" s="27"/>
      <c r="Z13" s="25"/>
      <c r="AA13" s="27"/>
      <c r="AB13" s="25"/>
      <c r="AC13" s="25"/>
      <c r="AD13" s="25"/>
      <c r="AE13" s="25"/>
      <c r="AF13" s="25"/>
      <c r="AG13" s="25"/>
      <c r="AH13" s="25"/>
      <c r="AI13" s="25"/>
    </row>
    <row r="14" s="1" customFormat="1" spans="1:35">
      <c r="A14" s="1">
        <v>10</v>
      </c>
      <c r="B14" s="22">
        <v>45836</v>
      </c>
      <c r="C14" s="23" t="s">
        <v>33</v>
      </c>
      <c r="D14" s="23" t="s">
        <v>43</v>
      </c>
      <c r="E14" s="24">
        <v>10000</v>
      </c>
      <c r="F14" s="25">
        <f t="shared" si="0"/>
        <v>9</v>
      </c>
      <c r="G14" s="26">
        <f t="shared" si="1"/>
        <v>0.0009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5"/>
      <c r="S14" s="33"/>
      <c r="T14" s="27"/>
      <c r="U14" s="27">
        <v>4</v>
      </c>
      <c r="V14" s="27">
        <v>1</v>
      </c>
      <c r="W14" s="27"/>
      <c r="X14" s="27"/>
      <c r="Y14" s="27"/>
      <c r="Z14" s="25"/>
      <c r="AA14" s="27"/>
      <c r="AB14" s="25"/>
      <c r="AC14" s="25"/>
      <c r="AD14" s="25"/>
      <c r="AE14" s="25">
        <v>2</v>
      </c>
      <c r="AF14" s="25"/>
      <c r="AG14" s="25"/>
      <c r="AH14" s="25">
        <v>1</v>
      </c>
      <c r="AI14" s="25">
        <v>1</v>
      </c>
    </row>
    <row r="15" s="2" customFormat="1" spans="1:35">
      <c r="A15" s="1">
        <v>11</v>
      </c>
      <c r="B15" s="22">
        <v>45836</v>
      </c>
      <c r="C15" s="23" t="s">
        <v>33</v>
      </c>
      <c r="D15" s="23" t="s">
        <v>44</v>
      </c>
      <c r="E15" s="24">
        <v>10000</v>
      </c>
      <c r="F15" s="25">
        <f t="shared" si="0"/>
        <v>0</v>
      </c>
      <c r="G15" s="26">
        <f t="shared" si="1"/>
        <v>0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5"/>
      <c r="S15" s="33"/>
      <c r="T15" s="27"/>
      <c r="U15" s="27"/>
      <c r="V15" s="27"/>
      <c r="W15" s="27"/>
      <c r="X15" s="27"/>
      <c r="Y15" s="27"/>
      <c r="Z15" s="25"/>
      <c r="AA15" s="27"/>
      <c r="AB15" s="25"/>
      <c r="AC15" s="25"/>
      <c r="AD15" s="25"/>
      <c r="AE15" s="25"/>
      <c r="AF15" s="25"/>
      <c r="AG15" s="25"/>
      <c r="AH15" s="25"/>
      <c r="AI15" s="25"/>
    </row>
    <row r="16" s="1" customFormat="1" spans="1:35">
      <c r="A16" s="1">
        <v>12</v>
      </c>
      <c r="B16" s="22">
        <v>45836</v>
      </c>
      <c r="C16" s="23" t="s">
        <v>33</v>
      </c>
      <c r="D16" s="23" t="s">
        <v>45</v>
      </c>
      <c r="E16" s="24">
        <v>44000</v>
      </c>
      <c r="F16" s="25">
        <f t="shared" si="0"/>
        <v>0</v>
      </c>
      <c r="G16" s="26">
        <f t="shared" si="1"/>
        <v>0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5"/>
      <c r="S16" s="33"/>
      <c r="T16" s="27"/>
      <c r="U16" s="27"/>
      <c r="V16" s="27"/>
      <c r="W16" s="27"/>
      <c r="X16" s="27"/>
      <c r="Y16" s="27"/>
      <c r="Z16" s="25"/>
      <c r="AA16" s="27"/>
      <c r="AB16" s="25"/>
      <c r="AC16" s="25"/>
      <c r="AD16" s="25"/>
      <c r="AE16" s="25"/>
      <c r="AF16" s="25"/>
      <c r="AG16" s="25"/>
      <c r="AH16" s="25"/>
      <c r="AI16" s="25"/>
    </row>
    <row r="17" s="1" customFormat="1" spans="1:35">
      <c r="A17" s="1">
        <v>13</v>
      </c>
      <c r="B17" s="22">
        <v>45836</v>
      </c>
      <c r="C17" s="23" t="s">
        <v>33</v>
      </c>
      <c r="D17" s="23" t="s">
        <v>46</v>
      </c>
      <c r="E17" s="24">
        <v>300000</v>
      </c>
      <c r="F17" s="25">
        <f t="shared" si="0"/>
        <v>22</v>
      </c>
      <c r="G17" s="26">
        <f t="shared" si="1"/>
        <v>7.33333333333333e-5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5"/>
      <c r="S17" s="33"/>
      <c r="T17" s="27"/>
      <c r="U17" s="27">
        <v>11</v>
      </c>
      <c r="V17" s="27">
        <v>1</v>
      </c>
      <c r="W17" s="27"/>
      <c r="X17" s="27"/>
      <c r="Y17" s="27"/>
      <c r="Z17" s="25"/>
      <c r="AA17" s="27"/>
      <c r="AB17" s="25"/>
      <c r="AC17" s="25"/>
      <c r="AD17" s="25"/>
      <c r="AE17" s="25">
        <v>2</v>
      </c>
      <c r="AF17" s="25"/>
      <c r="AG17" s="25"/>
      <c r="AH17" s="25">
        <v>2</v>
      </c>
      <c r="AI17" s="25">
        <v>6</v>
      </c>
    </row>
    <row r="18" s="1" customFormat="1" spans="1:35">
      <c r="A18" s="1">
        <v>14</v>
      </c>
      <c r="B18" s="22">
        <v>45836</v>
      </c>
      <c r="C18" s="23" t="s">
        <v>33</v>
      </c>
      <c r="D18" s="23" t="s">
        <v>47</v>
      </c>
      <c r="E18" s="24">
        <v>200000</v>
      </c>
      <c r="F18" s="25">
        <f t="shared" si="0"/>
        <v>0</v>
      </c>
      <c r="G18" s="26">
        <f t="shared" si="1"/>
        <v>0</v>
      </c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5"/>
      <c r="S18" s="33"/>
      <c r="T18" s="27"/>
      <c r="U18" s="27"/>
      <c r="V18" s="27"/>
      <c r="W18" s="27"/>
      <c r="X18" s="27"/>
      <c r="Y18" s="27"/>
      <c r="Z18" s="25"/>
      <c r="AA18" s="27"/>
      <c r="AB18" s="25"/>
      <c r="AC18" s="25"/>
      <c r="AD18" s="25"/>
      <c r="AE18" s="25"/>
      <c r="AF18" s="25"/>
      <c r="AG18" s="25"/>
      <c r="AH18" s="25"/>
      <c r="AI18" s="25"/>
    </row>
    <row r="19" s="1" customFormat="1" spans="1:35">
      <c r="A19" s="1">
        <v>15</v>
      </c>
      <c r="B19" s="22">
        <v>45836</v>
      </c>
      <c r="C19" s="23" t="s">
        <v>33</v>
      </c>
      <c r="D19" s="23" t="s">
        <v>48</v>
      </c>
      <c r="E19" s="24">
        <v>200000</v>
      </c>
      <c r="F19" s="25">
        <f t="shared" si="0"/>
        <v>0</v>
      </c>
      <c r="G19" s="26">
        <f t="shared" si="1"/>
        <v>0</v>
      </c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5"/>
      <c r="S19" s="33"/>
      <c r="T19" s="27"/>
      <c r="U19" s="27"/>
      <c r="V19" s="27"/>
      <c r="W19" s="27"/>
      <c r="X19" s="27"/>
      <c r="Y19" s="27"/>
      <c r="Z19" s="25"/>
      <c r="AA19" s="27"/>
      <c r="AB19" s="25"/>
      <c r="AC19" s="25"/>
      <c r="AD19" s="25"/>
      <c r="AE19" s="25"/>
      <c r="AF19" s="25"/>
      <c r="AG19" s="25"/>
      <c r="AH19" s="25"/>
      <c r="AI19" s="25"/>
    </row>
    <row r="20" s="1" customFormat="1" spans="1:35">
      <c r="A20" s="1">
        <v>16</v>
      </c>
      <c r="B20" s="22">
        <v>45836</v>
      </c>
      <c r="C20" s="23" t="s">
        <v>33</v>
      </c>
      <c r="D20" s="23" t="s">
        <v>49</v>
      </c>
      <c r="E20" s="24">
        <v>200000</v>
      </c>
      <c r="F20" s="25">
        <f t="shared" si="0"/>
        <v>0</v>
      </c>
      <c r="G20" s="26">
        <f t="shared" si="1"/>
        <v>0</v>
      </c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5"/>
      <c r="S20" s="33"/>
      <c r="T20" s="27"/>
      <c r="U20" s="27"/>
      <c r="V20" s="27"/>
      <c r="W20" s="27"/>
      <c r="X20" s="27"/>
      <c r="Y20" s="27"/>
      <c r="Z20" s="25"/>
      <c r="AA20" s="27"/>
      <c r="AB20" s="25"/>
      <c r="AC20" s="25"/>
      <c r="AD20" s="25"/>
      <c r="AE20" s="25"/>
      <c r="AF20" s="25"/>
      <c r="AG20" s="25"/>
      <c r="AH20" s="25"/>
      <c r="AI20" s="25"/>
    </row>
    <row r="21" s="1" customFormat="1" spans="1:35">
      <c r="A21" s="1">
        <v>17</v>
      </c>
      <c r="B21" s="22">
        <v>45836</v>
      </c>
      <c r="C21" s="23" t="s">
        <v>33</v>
      </c>
      <c r="D21" s="23" t="s">
        <v>50</v>
      </c>
      <c r="E21" s="24">
        <v>50000</v>
      </c>
      <c r="F21" s="25">
        <f t="shared" si="0"/>
        <v>2</v>
      </c>
      <c r="G21" s="26">
        <f t="shared" si="1"/>
        <v>4e-5</v>
      </c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5"/>
      <c r="S21" s="33"/>
      <c r="T21" s="27"/>
      <c r="U21" s="27"/>
      <c r="V21" s="27"/>
      <c r="W21" s="27"/>
      <c r="X21" s="27"/>
      <c r="Y21" s="27"/>
      <c r="Z21" s="25"/>
      <c r="AA21" s="27"/>
      <c r="AB21" s="25"/>
      <c r="AC21" s="25"/>
      <c r="AD21" s="25"/>
      <c r="AE21" s="25">
        <v>1</v>
      </c>
      <c r="AF21" s="25"/>
      <c r="AG21" s="25"/>
      <c r="AH21" s="25">
        <v>1</v>
      </c>
      <c r="AI21" s="25"/>
    </row>
    <row r="22" s="1" customFormat="1" spans="1:35">
      <c r="A22" s="1">
        <v>18</v>
      </c>
      <c r="B22" s="22">
        <v>45836</v>
      </c>
      <c r="C22" s="23" t="s">
        <v>33</v>
      </c>
      <c r="D22" s="23" t="s">
        <v>51</v>
      </c>
      <c r="E22" s="24">
        <v>50000</v>
      </c>
      <c r="F22" s="25">
        <f t="shared" si="0"/>
        <v>1</v>
      </c>
      <c r="G22" s="26">
        <f t="shared" si="1"/>
        <v>2e-5</v>
      </c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5"/>
      <c r="S22" s="33"/>
      <c r="T22" s="27"/>
      <c r="U22" s="27"/>
      <c r="V22" s="27"/>
      <c r="W22" s="27"/>
      <c r="X22" s="27"/>
      <c r="Y22" s="27"/>
      <c r="Z22" s="25"/>
      <c r="AA22" s="27"/>
      <c r="AB22" s="25"/>
      <c r="AC22" s="25"/>
      <c r="AD22" s="25"/>
      <c r="AE22" s="25">
        <v>1</v>
      </c>
      <c r="AF22" s="25"/>
      <c r="AG22" s="25"/>
      <c r="AH22" s="25"/>
      <c r="AI22" s="25"/>
    </row>
    <row r="23" s="1" customFormat="1" spans="1:35">
      <c r="A23" s="1">
        <v>19</v>
      </c>
      <c r="B23" s="22">
        <v>45836</v>
      </c>
      <c r="C23" s="23" t="s">
        <v>33</v>
      </c>
      <c r="D23" s="23" t="s">
        <v>52</v>
      </c>
      <c r="E23" s="24">
        <v>200000</v>
      </c>
      <c r="F23" s="25">
        <f t="shared" si="0"/>
        <v>0</v>
      </c>
      <c r="G23" s="26">
        <f t="shared" si="1"/>
        <v>0</v>
      </c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5"/>
      <c r="S23" s="33"/>
      <c r="T23" s="27"/>
      <c r="U23" s="27"/>
      <c r="V23" s="27"/>
      <c r="W23" s="27"/>
      <c r="X23" s="27"/>
      <c r="Y23" s="27"/>
      <c r="Z23" s="25"/>
      <c r="AA23" s="27"/>
      <c r="AB23" s="25"/>
      <c r="AC23" s="25"/>
      <c r="AD23" s="25"/>
      <c r="AE23" s="25"/>
      <c r="AF23" s="25"/>
      <c r="AG23" s="25"/>
      <c r="AH23" s="25"/>
      <c r="AI23" s="25"/>
    </row>
    <row r="24" s="1" customFormat="1" spans="1:35">
      <c r="A24" s="1">
        <v>20</v>
      </c>
      <c r="B24" s="22">
        <v>45836</v>
      </c>
      <c r="C24" s="23" t="s">
        <v>33</v>
      </c>
      <c r="D24" s="23" t="s">
        <v>53</v>
      </c>
      <c r="E24" s="24">
        <v>200000</v>
      </c>
      <c r="F24" s="25">
        <f t="shared" si="0"/>
        <v>0</v>
      </c>
      <c r="G24" s="26">
        <f t="shared" si="1"/>
        <v>0</v>
      </c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5"/>
      <c r="S24" s="33"/>
      <c r="T24" s="27"/>
      <c r="U24" s="27"/>
      <c r="V24" s="27"/>
      <c r="W24" s="27"/>
      <c r="X24" s="27"/>
      <c r="Y24" s="27"/>
      <c r="Z24" s="25"/>
      <c r="AA24" s="27"/>
      <c r="AB24" s="25"/>
      <c r="AC24" s="25"/>
      <c r="AD24" s="25"/>
      <c r="AE24" s="25"/>
      <c r="AF24" s="25"/>
      <c r="AG24" s="25"/>
      <c r="AH24" s="25"/>
      <c r="AI24" s="25"/>
    </row>
    <row r="25" s="1" customFormat="1" spans="1:35">
      <c r="A25" s="1">
        <v>21</v>
      </c>
      <c r="B25" s="22">
        <v>45836</v>
      </c>
      <c r="C25" s="23" t="s">
        <v>33</v>
      </c>
      <c r="D25" s="23" t="s">
        <v>54</v>
      </c>
      <c r="E25" s="24">
        <v>300000</v>
      </c>
      <c r="F25" s="25">
        <f t="shared" si="0"/>
        <v>0</v>
      </c>
      <c r="G25" s="26">
        <f t="shared" si="1"/>
        <v>0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5"/>
      <c r="S25" s="33"/>
      <c r="T25" s="27"/>
      <c r="U25" s="27"/>
      <c r="V25" s="27"/>
      <c r="W25" s="27"/>
      <c r="X25" s="27"/>
      <c r="Y25" s="27"/>
      <c r="Z25" s="25"/>
      <c r="AA25" s="27"/>
      <c r="AB25" s="25"/>
      <c r="AC25" s="25"/>
      <c r="AD25" s="25"/>
      <c r="AE25" s="25"/>
      <c r="AF25" s="25"/>
      <c r="AG25" s="25"/>
      <c r="AH25" s="25"/>
      <c r="AI25" s="25"/>
    </row>
    <row r="26" s="1" customFormat="1" spans="1:35">
      <c r="A26" s="1">
        <v>22</v>
      </c>
      <c r="B26" s="22">
        <v>45836</v>
      </c>
      <c r="C26" s="23" t="s">
        <v>33</v>
      </c>
      <c r="D26" s="23" t="s">
        <v>55</v>
      </c>
      <c r="E26" s="24">
        <v>300000</v>
      </c>
      <c r="F26" s="25">
        <f t="shared" si="0"/>
        <v>0</v>
      </c>
      <c r="G26" s="26">
        <f t="shared" si="1"/>
        <v>0</v>
      </c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5"/>
      <c r="S26" s="33"/>
      <c r="T26" s="27"/>
      <c r="U26" s="27"/>
      <c r="V26" s="27"/>
      <c r="W26" s="27"/>
      <c r="X26" s="27"/>
      <c r="Y26" s="27"/>
      <c r="Z26" s="25"/>
      <c r="AA26" s="27"/>
      <c r="AB26" s="25"/>
      <c r="AC26" s="25"/>
      <c r="AD26" s="25"/>
      <c r="AE26" s="25"/>
      <c r="AF26" s="25"/>
      <c r="AG26" s="25"/>
      <c r="AH26" s="25"/>
      <c r="AI26" s="25"/>
    </row>
    <row r="27" s="1" customFormat="1" ht="16" customHeight="1" spans="1:35">
      <c r="A27" s="1">
        <v>23</v>
      </c>
      <c r="B27" s="22">
        <v>45836</v>
      </c>
      <c r="C27" s="23" t="s">
        <v>33</v>
      </c>
      <c r="D27" s="23" t="s">
        <v>56</v>
      </c>
      <c r="E27" s="24">
        <v>2500</v>
      </c>
      <c r="F27" s="25">
        <f t="shared" si="0"/>
        <v>0</v>
      </c>
      <c r="G27" s="26">
        <f t="shared" si="1"/>
        <v>0</v>
      </c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5"/>
      <c r="S27" s="33"/>
      <c r="T27" s="27"/>
      <c r="U27" s="27"/>
      <c r="V27" s="27"/>
      <c r="W27" s="27"/>
      <c r="X27" s="27"/>
      <c r="Y27" s="27"/>
      <c r="Z27" s="25"/>
      <c r="AA27" s="27"/>
      <c r="AB27" s="25"/>
      <c r="AC27" s="25"/>
      <c r="AD27" s="25"/>
      <c r="AE27" s="25"/>
      <c r="AF27" s="25"/>
      <c r="AG27" s="25"/>
      <c r="AH27" s="25"/>
      <c r="AI27" s="25"/>
    </row>
    <row r="28" s="1" customFormat="1" spans="1:35">
      <c r="A28" s="1">
        <v>24</v>
      </c>
      <c r="B28" s="22">
        <v>45836</v>
      </c>
      <c r="C28" s="23" t="s">
        <v>33</v>
      </c>
      <c r="D28" s="23" t="s">
        <v>56</v>
      </c>
      <c r="E28" s="24">
        <v>500</v>
      </c>
      <c r="F28" s="25">
        <f t="shared" si="0"/>
        <v>0</v>
      </c>
      <c r="G28" s="26">
        <f t="shared" si="1"/>
        <v>0</v>
      </c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5"/>
      <c r="S28" s="33"/>
      <c r="T28" s="27"/>
      <c r="U28" s="27"/>
      <c r="V28" s="27"/>
      <c r="W28" s="27"/>
      <c r="X28" s="27"/>
      <c r="Y28" s="27"/>
      <c r="Z28" s="25"/>
      <c r="AA28" s="27"/>
      <c r="AB28" s="25"/>
      <c r="AC28" s="25"/>
      <c r="AD28" s="25"/>
      <c r="AE28" s="25"/>
      <c r="AF28" s="25"/>
      <c r="AG28" s="25"/>
      <c r="AH28" s="25"/>
      <c r="AI28" s="25"/>
    </row>
    <row r="29" s="1" customFormat="1" spans="1:35">
      <c r="A29" s="1">
        <v>25</v>
      </c>
      <c r="B29" s="22">
        <v>45836</v>
      </c>
      <c r="C29" s="23" t="s">
        <v>33</v>
      </c>
      <c r="D29" s="23" t="s">
        <v>56</v>
      </c>
      <c r="E29" s="24">
        <v>5000</v>
      </c>
      <c r="F29" s="25">
        <f t="shared" si="0"/>
        <v>0</v>
      </c>
      <c r="G29" s="26">
        <f t="shared" si="1"/>
        <v>0</v>
      </c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5"/>
      <c r="S29" s="33"/>
      <c r="T29" s="27"/>
      <c r="U29" s="27"/>
      <c r="V29" s="27"/>
      <c r="W29" s="27"/>
      <c r="X29" s="27"/>
      <c r="Y29" s="27"/>
      <c r="Z29" s="25"/>
      <c r="AA29" s="27"/>
      <c r="AB29" s="25"/>
      <c r="AC29" s="25"/>
      <c r="AD29" s="25"/>
      <c r="AE29" s="25"/>
      <c r="AF29" s="25"/>
      <c r="AG29" s="25"/>
      <c r="AH29" s="25"/>
      <c r="AI29" s="25"/>
    </row>
    <row r="30" s="1" customFormat="1" spans="1:35">
      <c r="A30" s="1">
        <v>26</v>
      </c>
      <c r="B30" s="22">
        <v>45836</v>
      </c>
      <c r="C30" s="23" t="s">
        <v>33</v>
      </c>
      <c r="D30" s="23" t="s">
        <v>57</v>
      </c>
      <c r="E30" s="24">
        <v>10000</v>
      </c>
      <c r="F30" s="25">
        <f t="shared" si="0"/>
        <v>0</v>
      </c>
      <c r="G30" s="26">
        <f t="shared" si="1"/>
        <v>0</v>
      </c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5"/>
      <c r="S30" s="33"/>
      <c r="T30" s="27"/>
      <c r="U30" s="27"/>
      <c r="V30" s="27"/>
      <c r="W30" s="27"/>
      <c r="X30" s="27"/>
      <c r="Y30" s="27"/>
      <c r="Z30" s="25"/>
      <c r="AA30" s="27"/>
      <c r="AB30" s="25"/>
      <c r="AC30" s="25"/>
      <c r="AD30" s="25"/>
      <c r="AE30" s="25"/>
      <c r="AF30" s="25"/>
      <c r="AG30" s="25"/>
      <c r="AH30" s="25"/>
      <c r="AI30" s="25"/>
    </row>
    <row r="31" s="1" customFormat="1" spans="1:35">
      <c r="A31" s="1">
        <v>27</v>
      </c>
      <c r="B31" s="22">
        <v>45836</v>
      </c>
      <c r="C31" s="23" t="s">
        <v>33</v>
      </c>
      <c r="D31" s="23" t="s">
        <v>58</v>
      </c>
      <c r="E31" s="24">
        <v>10000</v>
      </c>
      <c r="F31" s="25">
        <f t="shared" si="0"/>
        <v>0</v>
      </c>
      <c r="G31" s="26">
        <f t="shared" si="1"/>
        <v>0</v>
      </c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5"/>
      <c r="S31" s="33"/>
      <c r="T31" s="27"/>
      <c r="U31" s="27"/>
      <c r="V31" s="27"/>
      <c r="W31" s="27"/>
      <c r="X31" s="27"/>
      <c r="Y31" s="27"/>
      <c r="Z31" s="25"/>
      <c r="AA31" s="27"/>
      <c r="AB31" s="25"/>
      <c r="AC31" s="25"/>
      <c r="AD31" s="25"/>
      <c r="AE31" s="25"/>
      <c r="AF31" s="25"/>
      <c r="AG31" s="25"/>
      <c r="AH31" s="25"/>
      <c r="AI31" s="25"/>
    </row>
    <row r="32" s="1" customFormat="1" spans="1:35">
      <c r="A32" s="1">
        <v>28</v>
      </c>
      <c r="B32" s="22">
        <v>45836</v>
      </c>
      <c r="C32" s="23" t="s">
        <v>33</v>
      </c>
      <c r="D32" s="23" t="s">
        <v>59</v>
      </c>
      <c r="E32" s="24">
        <v>10000</v>
      </c>
      <c r="F32" s="25">
        <f t="shared" si="0"/>
        <v>6</v>
      </c>
      <c r="G32" s="26">
        <f t="shared" si="1"/>
        <v>0.0006</v>
      </c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5"/>
      <c r="S32" s="33"/>
      <c r="T32" s="27"/>
      <c r="U32" s="27"/>
      <c r="V32" s="27">
        <v>1</v>
      </c>
      <c r="W32" s="27">
        <v>3</v>
      </c>
      <c r="X32" s="27"/>
      <c r="Y32" s="27"/>
      <c r="Z32" s="25"/>
      <c r="AA32" s="27"/>
      <c r="AB32" s="25"/>
      <c r="AC32" s="25"/>
      <c r="AD32" s="25"/>
      <c r="AE32" s="25"/>
      <c r="AF32" s="25"/>
      <c r="AG32" s="25"/>
      <c r="AH32" s="25">
        <v>1</v>
      </c>
      <c r="AI32" s="25">
        <v>1</v>
      </c>
    </row>
    <row r="33" s="1" customFormat="1" spans="1:35">
      <c r="A33" s="1">
        <v>29</v>
      </c>
      <c r="B33" s="22">
        <v>45836</v>
      </c>
      <c r="C33" s="23" t="s">
        <v>33</v>
      </c>
      <c r="D33" s="23" t="s">
        <v>60</v>
      </c>
      <c r="E33" s="24">
        <v>10000</v>
      </c>
      <c r="F33" s="25">
        <f t="shared" si="0"/>
        <v>0</v>
      </c>
      <c r="G33" s="26">
        <f t="shared" si="1"/>
        <v>0</v>
      </c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5"/>
      <c r="S33" s="33"/>
      <c r="T33" s="27"/>
      <c r="U33" s="27"/>
      <c r="V33" s="27"/>
      <c r="W33" s="27"/>
      <c r="X33" s="27"/>
      <c r="Y33" s="27"/>
      <c r="Z33" s="25"/>
      <c r="AA33" s="27"/>
      <c r="AB33" s="25"/>
      <c r="AC33" s="25"/>
      <c r="AD33" s="25"/>
      <c r="AE33" s="25"/>
      <c r="AF33" s="25"/>
      <c r="AG33" s="25"/>
      <c r="AH33" s="25"/>
      <c r="AI33" s="25"/>
    </row>
    <row r="34" s="1" customFormat="1" spans="1:35">
      <c r="A34" s="1">
        <v>30</v>
      </c>
      <c r="B34" s="22">
        <v>45836</v>
      </c>
      <c r="C34" s="23" t="s">
        <v>33</v>
      </c>
      <c r="D34" s="23" t="s">
        <v>61</v>
      </c>
      <c r="E34" s="24">
        <v>10000</v>
      </c>
      <c r="F34" s="25">
        <f t="shared" si="0"/>
        <v>2</v>
      </c>
      <c r="G34" s="26">
        <f t="shared" si="1"/>
        <v>0.0002</v>
      </c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5"/>
      <c r="S34" s="33"/>
      <c r="T34" s="27"/>
      <c r="U34" s="27">
        <v>1</v>
      </c>
      <c r="V34" s="27"/>
      <c r="W34" s="27"/>
      <c r="X34" s="27"/>
      <c r="Y34" s="27"/>
      <c r="Z34" s="25"/>
      <c r="AA34" s="27"/>
      <c r="AB34" s="25"/>
      <c r="AC34" s="25"/>
      <c r="AD34" s="25"/>
      <c r="AE34" s="25"/>
      <c r="AF34" s="25"/>
      <c r="AG34" s="25"/>
      <c r="AH34" s="25"/>
      <c r="AI34" s="25">
        <v>1</v>
      </c>
    </row>
    <row r="35" s="1" customFormat="1" spans="1:35">
      <c r="A35" s="1">
        <v>31</v>
      </c>
      <c r="B35" s="22">
        <v>45836</v>
      </c>
      <c r="C35" s="23" t="s">
        <v>33</v>
      </c>
      <c r="D35" s="23" t="s">
        <v>62</v>
      </c>
      <c r="E35" s="24">
        <v>20000</v>
      </c>
      <c r="F35" s="25">
        <f t="shared" si="0"/>
        <v>0</v>
      </c>
      <c r="G35" s="26">
        <f t="shared" si="1"/>
        <v>0</v>
      </c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5"/>
      <c r="S35" s="33"/>
      <c r="T35" s="27"/>
      <c r="U35" s="27"/>
      <c r="V35" s="27"/>
      <c r="W35" s="27"/>
      <c r="X35" s="27"/>
      <c r="Y35" s="27"/>
      <c r="Z35" s="25"/>
      <c r="AA35" s="27"/>
      <c r="AB35" s="25"/>
      <c r="AC35" s="25"/>
      <c r="AD35" s="25"/>
      <c r="AE35" s="25"/>
      <c r="AF35" s="25"/>
      <c r="AG35" s="25"/>
      <c r="AH35" s="25"/>
      <c r="AI35" s="25"/>
    </row>
    <row r="36" s="1" customFormat="1" spans="1:35">
      <c r="A36" s="1">
        <v>32</v>
      </c>
      <c r="B36" s="22">
        <v>45836</v>
      </c>
      <c r="C36" s="23" t="s">
        <v>33</v>
      </c>
      <c r="D36" s="23" t="s">
        <v>63</v>
      </c>
      <c r="E36" s="24">
        <v>50000</v>
      </c>
      <c r="F36" s="25">
        <f t="shared" si="0"/>
        <v>9</v>
      </c>
      <c r="G36" s="26">
        <f t="shared" si="1"/>
        <v>0.00018</v>
      </c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5"/>
      <c r="S36" s="33"/>
      <c r="T36" s="27"/>
      <c r="U36" s="27"/>
      <c r="V36" s="27">
        <v>2</v>
      </c>
      <c r="W36" s="27"/>
      <c r="X36" s="27"/>
      <c r="Y36" s="27"/>
      <c r="Z36" s="25"/>
      <c r="AA36" s="27"/>
      <c r="AB36" s="25"/>
      <c r="AC36" s="25"/>
      <c r="AD36" s="25"/>
      <c r="AE36" s="25">
        <v>4</v>
      </c>
      <c r="AF36" s="25"/>
      <c r="AG36" s="25"/>
      <c r="AH36" s="25">
        <v>1</v>
      </c>
      <c r="AI36" s="25">
        <v>2</v>
      </c>
    </row>
    <row r="37" s="1" customFormat="1" spans="1:35">
      <c r="A37" s="1">
        <v>33</v>
      </c>
      <c r="B37" s="22">
        <v>45836</v>
      </c>
      <c r="C37" s="23" t="s">
        <v>33</v>
      </c>
      <c r="D37" s="23" t="s">
        <v>64</v>
      </c>
      <c r="E37" s="24">
        <v>50000</v>
      </c>
      <c r="F37" s="25">
        <f t="shared" si="0"/>
        <v>0</v>
      </c>
      <c r="G37" s="26">
        <f t="shared" si="1"/>
        <v>0</v>
      </c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5"/>
      <c r="S37" s="33"/>
      <c r="T37" s="27"/>
      <c r="U37" s="27"/>
      <c r="V37" s="27"/>
      <c r="W37" s="27"/>
      <c r="X37" s="27"/>
      <c r="Y37" s="27"/>
      <c r="Z37" s="25"/>
      <c r="AA37" s="27"/>
      <c r="AB37" s="25"/>
      <c r="AC37" s="25"/>
      <c r="AD37" s="25"/>
      <c r="AE37" s="25"/>
      <c r="AF37" s="25"/>
      <c r="AG37" s="25"/>
      <c r="AH37" s="25"/>
      <c r="AI37" s="25"/>
    </row>
    <row r="38" s="1" customFormat="1" spans="1:35">
      <c r="A38" s="1">
        <v>34</v>
      </c>
      <c r="B38" s="22">
        <v>45836</v>
      </c>
      <c r="C38" s="23" t="s">
        <v>33</v>
      </c>
      <c r="D38" s="23" t="s">
        <v>65</v>
      </c>
      <c r="E38" s="24">
        <v>20000</v>
      </c>
      <c r="F38" s="25">
        <f t="shared" si="0"/>
        <v>0</v>
      </c>
      <c r="G38" s="26">
        <f t="shared" si="1"/>
        <v>0</v>
      </c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5"/>
      <c r="S38" s="33"/>
      <c r="T38" s="27"/>
      <c r="U38" s="27"/>
      <c r="V38" s="27"/>
      <c r="W38" s="27"/>
      <c r="X38" s="27"/>
      <c r="Y38" s="27"/>
      <c r="Z38" s="25"/>
      <c r="AA38" s="27"/>
      <c r="AB38" s="25"/>
      <c r="AC38" s="25"/>
      <c r="AD38" s="25"/>
      <c r="AE38" s="25"/>
      <c r="AF38" s="25"/>
      <c r="AG38" s="25"/>
      <c r="AH38" s="25"/>
      <c r="AI38" s="25"/>
    </row>
    <row r="39" s="1" customFormat="1" spans="1:35">
      <c r="A39" s="1">
        <v>35</v>
      </c>
      <c r="B39" s="22">
        <v>45836</v>
      </c>
      <c r="C39" s="23" t="s">
        <v>33</v>
      </c>
      <c r="D39" s="23" t="s">
        <v>66</v>
      </c>
      <c r="E39" s="24">
        <v>20000</v>
      </c>
      <c r="F39" s="25">
        <f t="shared" si="0"/>
        <v>0</v>
      </c>
      <c r="G39" s="26">
        <f t="shared" si="1"/>
        <v>0</v>
      </c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5"/>
      <c r="S39" s="33"/>
      <c r="T39" s="27"/>
      <c r="U39" s="27"/>
      <c r="V39" s="27"/>
      <c r="W39" s="27"/>
      <c r="X39" s="27"/>
      <c r="Y39" s="27"/>
      <c r="Z39" s="25"/>
      <c r="AA39" s="27"/>
      <c r="AB39" s="25"/>
      <c r="AC39" s="25"/>
      <c r="AD39" s="25"/>
      <c r="AE39" s="25"/>
      <c r="AF39" s="25"/>
      <c r="AG39" s="25"/>
      <c r="AH39" s="25"/>
      <c r="AI39" s="25"/>
    </row>
    <row r="40" s="1" customFormat="1" spans="1:35">
      <c r="A40" s="1">
        <v>36</v>
      </c>
      <c r="B40" s="22">
        <v>45836</v>
      </c>
      <c r="C40" s="23" t="s">
        <v>33</v>
      </c>
      <c r="D40" s="23" t="s">
        <v>67</v>
      </c>
      <c r="E40" s="24">
        <v>5000</v>
      </c>
      <c r="F40" s="25">
        <f t="shared" si="0"/>
        <v>0</v>
      </c>
      <c r="G40" s="26">
        <f t="shared" si="1"/>
        <v>0</v>
      </c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5"/>
      <c r="S40" s="33"/>
      <c r="T40" s="27"/>
      <c r="U40" s="27"/>
      <c r="V40" s="27"/>
      <c r="W40" s="27"/>
      <c r="X40" s="27"/>
      <c r="Y40" s="27"/>
      <c r="Z40" s="25"/>
      <c r="AA40" s="27"/>
      <c r="AB40" s="25"/>
      <c r="AC40" s="25"/>
      <c r="AD40" s="25"/>
      <c r="AE40" s="25"/>
      <c r="AF40" s="25"/>
      <c r="AG40" s="25"/>
      <c r="AH40" s="25"/>
      <c r="AI40" s="25"/>
    </row>
    <row r="41" s="1" customFormat="1" spans="7:19">
      <c r="G41" s="28"/>
      <c r="S41" s="8"/>
    </row>
    <row r="42" s="1" customFormat="1" spans="7:19">
      <c r="G42" s="28"/>
      <c r="S42" s="8"/>
    </row>
    <row r="43" s="1" customFormat="1" spans="7:19">
      <c r="G43" s="28"/>
      <c r="S43" s="8"/>
    </row>
    <row r="44" s="1" customFormat="1" spans="7:19">
      <c r="G44" s="28"/>
      <c r="S44" s="8"/>
    </row>
    <row r="45" s="1" customFormat="1" spans="7:19">
      <c r="G45" s="28"/>
      <c r="S45" s="8"/>
    </row>
    <row r="46" s="1" customFormat="1" spans="7:19">
      <c r="G46" s="28"/>
      <c r="S46" s="8"/>
    </row>
    <row r="47" s="1" customFormat="1" spans="7:19">
      <c r="G47" s="28"/>
      <c r="S47" s="8"/>
    </row>
    <row r="48" s="1" customFormat="1" spans="7:19">
      <c r="G48" s="28"/>
      <c r="S48" s="8"/>
    </row>
    <row r="49" s="1" customFormat="1" spans="7:19">
      <c r="G49" s="28"/>
      <c r="S49" s="8"/>
    </row>
    <row r="50" s="1" customFormat="1" spans="7:19">
      <c r="G50" s="28"/>
      <c r="S50" s="8"/>
    </row>
    <row r="51" s="1" customFormat="1" spans="7:19">
      <c r="G51" s="28"/>
      <c r="S51" s="8"/>
    </row>
    <row r="52" s="1" customFormat="1" spans="7:19">
      <c r="G52" s="28"/>
      <c r="S52" s="8"/>
    </row>
    <row r="53" s="1" customFormat="1" spans="7:19">
      <c r="G53" s="28"/>
      <c r="S53" s="8"/>
    </row>
    <row r="54" s="1" customFormat="1" spans="7:19">
      <c r="G54" s="28"/>
      <c r="S54" s="8"/>
    </row>
    <row r="55" s="1" customFormat="1" spans="7:19">
      <c r="G55" s="28"/>
      <c r="S55" s="8"/>
    </row>
    <row r="56" s="1" customFormat="1" spans="7:19">
      <c r="G56" s="28"/>
      <c r="S56" s="8"/>
    </row>
    <row r="57" s="1" customFormat="1" spans="7:19">
      <c r="G57" s="28"/>
      <c r="S57" s="8"/>
    </row>
    <row r="58" s="1" customFormat="1" spans="7:19">
      <c r="G58" s="28"/>
      <c r="S58" s="8"/>
    </row>
    <row r="59" s="1" customFormat="1" spans="7:19">
      <c r="G59" s="28"/>
      <c r="S59" s="8"/>
    </row>
    <row r="60" s="1" customFormat="1" spans="7:19">
      <c r="G60" s="28"/>
      <c r="S60" s="8"/>
    </row>
    <row r="61" s="1" customFormat="1" spans="7:19">
      <c r="G61" s="28"/>
      <c r="S61" s="8"/>
    </row>
    <row r="62" s="1" customFormat="1" spans="7:19">
      <c r="G62" s="28"/>
      <c r="S62" s="8"/>
    </row>
    <row r="63" s="1" customFormat="1" spans="7:19">
      <c r="G63" s="28"/>
      <c r="S63" s="8"/>
    </row>
    <row r="64" s="1" customFormat="1" spans="7:19">
      <c r="G64" s="28"/>
      <c r="S64" s="8"/>
    </row>
    <row r="65" s="1" customFormat="1" spans="7:19">
      <c r="G65" s="28"/>
      <c r="S65" s="8"/>
    </row>
    <row r="66" s="1" customFormat="1" spans="7:19">
      <c r="G66" s="28"/>
      <c r="S66" s="8"/>
    </row>
    <row r="67" s="1" customFormat="1" spans="7:19">
      <c r="G67" s="28"/>
      <c r="S67" s="8"/>
    </row>
    <row r="68" s="1" customFormat="1" spans="7:19">
      <c r="G68" s="28"/>
      <c r="S68" s="8"/>
    </row>
    <row r="69" s="1" customFormat="1" spans="7:19">
      <c r="G69" s="28"/>
      <c r="S69" s="8"/>
    </row>
    <row r="70" s="1" customFormat="1" spans="7:19">
      <c r="G70" s="28"/>
      <c r="S70" s="8"/>
    </row>
    <row r="71" s="1" customFormat="1" spans="7:19">
      <c r="G71" s="28"/>
      <c r="S71" s="8"/>
    </row>
    <row r="72" s="1" customFormat="1" spans="7:19">
      <c r="G72" s="28"/>
      <c r="S72" s="8"/>
    </row>
    <row r="73" s="1" customFormat="1" spans="7:19">
      <c r="G73" s="28"/>
      <c r="S73" s="8"/>
    </row>
    <row r="74" s="1" customFormat="1" spans="7:19">
      <c r="G74" s="28"/>
      <c r="S74" s="8"/>
    </row>
    <row r="75" s="1" customFormat="1" spans="7:19">
      <c r="G75" s="28"/>
      <c r="S75" s="8"/>
    </row>
    <row r="76" s="1" customFormat="1" spans="7:19">
      <c r="G76" s="28"/>
      <c r="S76" s="8"/>
    </row>
    <row r="77" s="1" customFormat="1" spans="7:19">
      <c r="G77" s="28"/>
      <c r="S77" s="8"/>
    </row>
    <row r="78" s="1" customFormat="1" spans="7:19">
      <c r="G78" s="28"/>
      <c r="S78" s="8"/>
    </row>
    <row r="79" s="1" customFormat="1" spans="7:19">
      <c r="G79" s="28"/>
      <c r="S79" s="8"/>
    </row>
    <row r="80" s="1" customFormat="1" spans="7:19">
      <c r="G80" s="28"/>
      <c r="S80" s="8"/>
    </row>
    <row r="81" s="1" customFormat="1" spans="7:19">
      <c r="G81" s="28"/>
      <c r="S81" s="8"/>
    </row>
    <row r="82" s="1" customFormat="1" spans="7:19">
      <c r="G82" s="28"/>
      <c r="S82" s="8"/>
    </row>
    <row r="83" s="1" customFormat="1" spans="7:19">
      <c r="G83" s="28"/>
      <c r="S83" s="8"/>
    </row>
    <row r="84" s="1" customFormat="1" spans="7:19">
      <c r="G84" s="28"/>
      <c r="S84" s="8"/>
    </row>
    <row r="85" s="1" customFormat="1" spans="7:19">
      <c r="G85" s="28"/>
      <c r="S85" s="8"/>
    </row>
    <row r="86" s="1" customFormat="1" spans="7:19">
      <c r="G86" s="28"/>
      <c r="S86" s="8"/>
    </row>
    <row r="87" s="1" customFormat="1" spans="7:19">
      <c r="G87" s="28"/>
      <c r="S87" s="8"/>
    </row>
    <row r="88" s="1" customFormat="1" spans="7:19">
      <c r="G88" s="28"/>
      <c r="S88" s="8"/>
    </row>
    <row r="89" s="1" customFormat="1" spans="7:19">
      <c r="G89" s="28"/>
      <c r="S89" s="8"/>
    </row>
    <row r="90" s="1" customFormat="1" spans="7:19">
      <c r="G90" s="28"/>
      <c r="S90" s="8"/>
    </row>
    <row r="91" s="1" customFormat="1" spans="7:19">
      <c r="G91" s="28"/>
      <c r="S91" s="8"/>
    </row>
    <row r="92" s="1" customFormat="1" spans="7:19">
      <c r="G92" s="28"/>
      <c r="S92" s="8"/>
    </row>
    <row r="93" s="1" customFormat="1" spans="7:19">
      <c r="G93" s="28"/>
      <c r="S93" s="8"/>
    </row>
    <row r="94" s="1" customFormat="1" spans="7:19">
      <c r="G94" s="28"/>
      <c r="S94" s="8"/>
    </row>
    <row r="95" s="1" customFormat="1" spans="7:19">
      <c r="G95" s="28"/>
      <c r="S95" s="8"/>
    </row>
    <row r="96" s="1" customFormat="1" spans="2:19">
      <c r="B96" s="4"/>
      <c r="C96" s="4"/>
      <c r="D96" s="5"/>
      <c r="G96" s="28"/>
      <c r="S96" s="8"/>
    </row>
    <row r="97" s="1" customFormat="1" spans="2:19">
      <c r="B97" s="4"/>
      <c r="C97" s="4"/>
      <c r="D97" s="5"/>
      <c r="G97" s="28"/>
      <c r="S97" s="8"/>
    </row>
    <row r="98" s="1" customFormat="1" spans="2:19">
      <c r="B98" s="4"/>
      <c r="C98" s="4"/>
      <c r="D98" s="5"/>
      <c r="G98" s="28"/>
      <c r="S98" s="8"/>
    </row>
    <row r="99" s="1" customFormat="1" spans="2:19">
      <c r="B99" s="4"/>
      <c r="C99" s="4"/>
      <c r="D99" s="5"/>
      <c r="G99" s="28"/>
      <c r="S99" s="8"/>
    </row>
    <row r="100" s="1" customFormat="1" spans="2:19">
      <c r="B100" s="4"/>
      <c r="C100" s="4"/>
      <c r="D100" s="5"/>
      <c r="G100" s="28"/>
      <c r="S100" s="8"/>
    </row>
    <row r="101" s="1" customFormat="1" spans="2:19">
      <c r="B101" s="4"/>
      <c r="C101" s="4"/>
      <c r="D101" s="5"/>
      <c r="G101" s="28"/>
      <c r="S101" s="8"/>
    </row>
    <row r="102" s="1" customFormat="1" spans="2:19">
      <c r="B102" s="4"/>
      <c r="C102" s="4"/>
      <c r="D102" s="5"/>
      <c r="G102" s="28"/>
      <c r="S102" s="8"/>
    </row>
    <row r="103" s="1" customFormat="1" spans="2:19">
      <c r="B103" s="4"/>
      <c r="C103" s="4"/>
      <c r="D103" s="5"/>
      <c r="G103" s="28"/>
      <c r="S103" s="8"/>
    </row>
    <row r="104" s="1" customFormat="1" spans="2:19">
      <c r="B104" s="4"/>
      <c r="C104" s="4"/>
      <c r="D104" s="5"/>
      <c r="G104" s="28"/>
      <c r="S104" s="8"/>
    </row>
    <row r="105" s="1" customFormat="1" spans="2:19">
      <c r="B105" s="4"/>
      <c r="C105" s="4"/>
      <c r="D105" s="5"/>
      <c r="G105" s="28"/>
      <c r="S105" s="8"/>
    </row>
    <row r="106" s="1" customFormat="1" spans="2:19">
      <c r="B106" s="4"/>
      <c r="C106" s="4"/>
      <c r="D106" s="5"/>
      <c r="G106" s="28"/>
      <c r="S106" s="8"/>
    </row>
    <row r="107" s="1" customFormat="1" spans="2:19">
      <c r="B107" s="4"/>
      <c r="C107" s="4"/>
      <c r="D107" s="5"/>
      <c r="G107" s="28"/>
      <c r="S107" s="8"/>
    </row>
    <row r="108" s="1" customFormat="1" spans="2:19">
      <c r="B108" s="4"/>
      <c r="C108" s="4"/>
      <c r="D108" s="5"/>
      <c r="G108" s="28"/>
      <c r="S108" s="8"/>
    </row>
    <row r="109" s="1" customFormat="1" spans="2:19">
      <c r="B109" s="4"/>
      <c r="C109" s="4"/>
      <c r="D109" s="5"/>
      <c r="G109" s="28"/>
      <c r="S109" s="8"/>
    </row>
    <row r="110" s="1" customFormat="1" spans="2:19">
      <c r="B110" s="4"/>
      <c r="C110" s="4"/>
      <c r="D110" s="5"/>
      <c r="G110" s="28"/>
      <c r="S110" s="8"/>
    </row>
    <row r="111" s="1" customFormat="1" spans="2:19">
      <c r="B111" s="4"/>
      <c r="C111" s="4"/>
      <c r="D111" s="5"/>
      <c r="G111" s="28"/>
      <c r="S111" s="8"/>
    </row>
    <row r="112" s="1" customFormat="1" spans="2:19">
      <c r="B112" s="4"/>
      <c r="C112" s="4"/>
      <c r="D112" s="5"/>
      <c r="G112" s="28"/>
      <c r="S112" s="8"/>
    </row>
    <row r="113" s="1" customFormat="1" spans="2:19">
      <c r="B113" s="4"/>
      <c r="C113" s="4"/>
      <c r="D113" s="5"/>
      <c r="G113" s="28"/>
      <c r="S113" s="8"/>
    </row>
    <row r="114" s="1" customFormat="1" spans="2:19">
      <c r="B114" s="4"/>
      <c r="C114" s="4"/>
      <c r="D114" s="5"/>
      <c r="G114" s="28"/>
      <c r="S114" s="8"/>
    </row>
    <row r="115" s="1" customFormat="1" spans="2:19">
      <c r="B115" s="4"/>
      <c r="C115" s="4"/>
      <c r="D115" s="5"/>
      <c r="G115" s="28"/>
      <c r="S115" s="8"/>
    </row>
    <row r="116" s="1" customFormat="1" spans="2:19">
      <c r="B116" s="4"/>
      <c r="C116" s="4"/>
      <c r="D116" s="5"/>
      <c r="G116" s="28"/>
      <c r="S116" s="8"/>
    </row>
    <row r="117" s="1" customFormat="1" spans="2:19">
      <c r="B117" s="4"/>
      <c r="C117" s="4"/>
      <c r="D117" s="5"/>
      <c r="G117" s="28"/>
      <c r="S117" s="8"/>
    </row>
    <row r="118" s="1" customFormat="1" spans="2:19">
      <c r="B118" s="4"/>
      <c r="C118" s="4"/>
      <c r="D118" s="5"/>
      <c r="G118" s="28"/>
      <c r="S118" s="8"/>
    </row>
    <row r="119" s="1" customFormat="1" spans="2:19">
      <c r="B119" s="4"/>
      <c r="C119" s="4"/>
      <c r="D119" s="5"/>
      <c r="G119" s="28"/>
      <c r="S119" s="8"/>
    </row>
    <row r="120" s="1" customFormat="1" spans="2:19">
      <c r="B120" s="4"/>
      <c r="C120" s="4"/>
      <c r="D120" s="5"/>
      <c r="G120" s="28"/>
      <c r="S120" s="8"/>
    </row>
    <row r="121" s="1" customFormat="1" spans="2:19">
      <c r="B121" s="4"/>
      <c r="C121" s="4"/>
      <c r="D121" s="5"/>
      <c r="G121" s="28"/>
      <c r="S121" s="8"/>
    </row>
    <row r="122" s="1" customFormat="1" spans="2:19">
      <c r="B122" s="4"/>
      <c r="C122" s="4"/>
      <c r="D122" s="5"/>
      <c r="G122" s="28"/>
      <c r="S122" s="8"/>
    </row>
    <row r="123" s="1" customFormat="1" spans="2:19">
      <c r="B123" s="4"/>
      <c r="C123" s="4"/>
      <c r="D123" s="5"/>
      <c r="G123" s="28"/>
      <c r="S123" s="8"/>
    </row>
    <row r="124" s="1" customFormat="1" spans="2:19">
      <c r="B124" s="4"/>
      <c r="C124" s="4"/>
      <c r="D124" s="5"/>
      <c r="G124" s="28"/>
      <c r="S124" s="8"/>
    </row>
    <row r="125" s="1" customFormat="1" spans="2:19">
      <c r="B125" s="4"/>
      <c r="C125" s="4"/>
      <c r="D125" s="5"/>
      <c r="G125" s="28"/>
      <c r="S125" s="8"/>
    </row>
    <row r="126" s="1" customFormat="1" spans="2:19">
      <c r="B126" s="4"/>
      <c r="C126" s="4"/>
      <c r="D126" s="5"/>
      <c r="G126" s="28"/>
      <c r="S126" s="8"/>
    </row>
    <row r="127" s="1" customFormat="1" spans="2:19">
      <c r="B127" s="4"/>
      <c r="C127" s="4"/>
      <c r="D127" s="5"/>
      <c r="G127" s="28"/>
      <c r="S127" s="8"/>
    </row>
    <row r="128" s="1" customFormat="1" spans="2:19">
      <c r="B128" s="4"/>
      <c r="C128" s="4"/>
      <c r="D128" s="5"/>
      <c r="G128" s="28"/>
      <c r="S128" s="8"/>
    </row>
    <row r="129" s="1" customFormat="1" spans="2:19">
      <c r="B129" s="4"/>
      <c r="C129" s="4"/>
      <c r="D129" s="5"/>
      <c r="G129" s="28"/>
      <c r="S129" s="8"/>
    </row>
    <row r="130" s="1" customFormat="1" spans="2:19">
      <c r="B130" s="4"/>
      <c r="C130" s="4"/>
      <c r="D130" s="5"/>
      <c r="G130" s="28"/>
      <c r="S130" s="8"/>
    </row>
    <row r="131" s="1" customFormat="1" spans="2:19">
      <c r="B131" s="4"/>
      <c r="C131" s="4"/>
      <c r="D131" s="5"/>
      <c r="G131" s="28"/>
      <c r="S131" s="8"/>
    </row>
    <row r="132" s="1" customFormat="1" spans="2:19">
      <c r="B132" s="4"/>
      <c r="C132" s="4"/>
      <c r="D132" s="5"/>
      <c r="G132" s="28"/>
      <c r="S132" s="8"/>
    </row>
    <row r="133" s="1" customFormat="1" spans="2:19">
      <c r="B133" s="4"/>
      <c r="C133" s="4"/>
      <c r="D133" s="5"/>
      <c r="G133" s="28"/>
      <c r="S133" s="8"/>
    </row>
    <row r="134" s="1" customFormat="1" spans="2:19">
      <c r="B134" s="4"/>
      <c r="C134" s="4"/>
      <c r="D134" s="5"/>
      <c r="G134" s="28"/>
      <c r="S134" s="8"/>
    </row>
    <row r="135" s="1" customFormat="1" spans="2:19">
      <c r="B135" s="4"/>
      <c r="C135" s="4"/>
      <c r="D135" s="5"/>
      <c r="G135" s="28"/>
      <c r="S135" s="8"/>
    </row>
    <row r="136" s="1" customFormat="1" spans="2:19">
      <c r="B136" s="4"/>
      <c r="C136" s="4"/>
      <c r="D136" s="5"/>
      <c r="G136" s="28"/>
      <c r="S136" s="8"/>
    </row>
    <row r="137" s="1" customFormat="1" spans="2:19">
      <c r="B137" s="4"/>
      <c r="C137" s="4"/>
      <c r="D137" s="5"/>
      <c r="G137" s="28"/>
      <c r="S137" s="8"/>
    </row>
    <row r="138" s="1" customFormat="1" spans="2:19">
      <c r="B138" s="4"/>
      <c r="C138" s="4"/>
      <c r="D138" s="5"/>
      <c r="G138" s="28"/>
      <c r="S138" s="8"/>
    </row>
    <row r="139" s="1" customFormat="1" spans="2:19">
      <c r="B139" s="4"/>
      <c r="C139" s="4"/>
      <c r="D139" s="5"/>
      <c r="G139" s="28"/>
      <c r="S139" s="8"/>
    </row>
    <row r="140" s="1" customFormat="1" spans="2:19">
      <c r="B140" s="4"/>
      <c r="C140" s="4"/>
      <c r="D140" s="5"/>
      <c r="G140" s="28"/>
      <c r="S140" s="8"/>
    </row>
    <row r="141" s="1" customFormat="1" spans="2:19">
      <c r="B141" s="4"/>
      <c r="C141" s="4"/>
      <c r="D141" s="5"/>
      <c r="G141" s="28"/>
      <c r="S141" s="8"/>
    </row>
    <row r="142" s="1" customFormat="1" spans="2:19">
      <c r="B142" s="4"/>
      <c r="C142" s="4"/>
      <c r="D142" s="5"/>
      <c r="G142" s="28"/>
      <c r="S142" s="8"/>
    </row>
    <row r="143" s="1" customFormat="1" spans="2:19">
      <c r="B143" s="4"/>
      <c r="C143" s="4"/>
      <c r="D143" s="5"/>
      <c r="G143" s="28"/>
      <c r="S143" s="8"/>
    </row>
    <row r="144" s="1" customFormat="1" spans="2:19">
      <c r="B144" s="4"/>
      <c r="C144" s="4"/>
      <c r="D144" s="5"/>
      <c r="G144" s="28"/>
      <c r="S144" s="8"/>
    </row>
    <row r="145" s="1" customFormat="1" spans="2:19">
      <c r="B145" s="4"/>
      <c r="C145" s="4"/>
      <c r="D145" s="5"/>
      <c r="G145" s="28"/>
      <c r="S145" s="8"/>
    </row>
    <row r="146" s="1" customFormat="1" spans="2:19">
      <c r="B146" s="4"/>
      <c r="C146" s="4"/>
      <c r="D146" s="5"/>
      <c r="G146" s="28"/>
      <c r="S146" s="8"/>
    </row>
    <row r="147" s="1" customFormat="1" spans="2:19">
      <c r="B147" s="4"/>
      <c r="C147" s="4"/>
      <c r="D147" s="5"/>
      <c r="G147" s="28"/>
      <c r="S147" s="8"/>
    </row>
    <row r="148" s="1" customFormat="1" spans="2:19">
      <c r="B148" s="4"/>
      <c r="C148" s="4"/>
      <c r="D148" s="5"/>
      <c r="G148" s="28"/>
      <c r="S148" s="8"/>
    </row>
    <row r="149" s="1" customFormat="1" spans="2:19">
      <c r="B149" s="4"/>
      <c r="C149" s="4"/>
      <c r="D149" s="5"/>
      <c r="G149" s="28"/>
      <c r="S149" s="8"/>
    </row>
    <row r="150" s="1" customFormat="1" spans="2:19">
      <c r="B150" s="4"/>
      <c r="C150" s="4"/>
      <c r="D150" s="5"/>
      <c r="G150" s="28"/>
      <c r="S150" s="8"/>
    </row>
    <row r="151" s="1" customFormat="1" spans="2:19">
      <c r="B151" s="4"/>
      <c r="C151" s="4"/>
      <c r="D151" s="5"/>
      <c r="G151" s="28"/>
      <c r="S151" s="8"/>
    </row>
    <row r="152" s="1" customFormat="1" spans="2:19">
      <c r="B152" s="4"/>
      <c r="C152" s="4"/>
      <c r="D152" s="5"/>
      <c r="G152" s="28"/>
      <c r="S152" s="8"/>
    </row>
    <row r="153" s="1" customFormat="1" spans="2:19">
      <c r="B153" s="4"/>
      <c r="C153" s="4"/>
      <c r="D153" s="5"/>
      <c r="G153" s="28"/>
      <c r="S153" s="8"/>
    </row>
    <row r="154" s="1" customFormat="1" spans="2:19">
      <c r="B154" s="4"/>
      <c r="C154" s="4"/>
      <c r="D154" s="5"/>
      <c r="G154" s="28"/>
      <c r="S154" s="8"/>
    </row>
    <row r="155" s="1" customFormat="1" spans="2:19">
      <c r="B155" s="4"/>
      <c r="C155" s="4"/>
      <c r="D155" s="5"/>
      <c r="G155" s="28"/>
      <c r="S155" s="8"/>
    </row>
    <row r="156" s="1" customFormat="1" spans="2:19">
      <c r="B156" s="4"/>
      <c r="C156" s="4"/>
      <c r="D156" s="5"/>
      <c r="G156" s="28"/>
      <c r="S156" s="8"/>
    </row>
    <row r="157" s="1" customFormat="1" spans="2:19">
      <c r="B157" s="4"/>
      <c r="C157" s="4"/>
      <c r="D157" s="5"/>
      <c r="G157" s="28"/>
      <c r="S157" s="8"/>
    </row>
    <row r="158" s="1" customFormat="1" spans="2:19">
      <c r="B158" s="4"/>
      <c r="C158" s="4"/>
      <c r="D158" s="5"/>
      <c r="G158" s="28"/>
      <c r="S158" s="8"/>
    </row>
    <row r="159" s="1" customFormat="1" spans="2:19">
      <c r="B159" s="4"/>
      <c r="C159" s="4"/>
      <c r="D159" s="5"/>
      <c r="G159" s="28"/>
      <c r="S159" s="8"/>
    </row>
    <row r="160" s="1" customFormat="1" spans="2:19">
      <c r="B160" s="4"/>
      <c r="C160" s="4"/>
      <c r="D160" s="5"/>
      <c r="G160" s="28"/>
      <c r="S160" s="8"/>
    </row>
    <row r="161" s="1" customFormat="1" spans="2:19">
      <c r="B161" s="4"/>
      <c r="C161" s="4"/>
      <c r="D161" s="5"/>
      <c r="G161" s="28"/>
      <c r="S161" s="8"/>
    </row>
    <row r="162" s="1" customFormat="1" spans="2:19">
      <c r="B162" s="4"/>
      <c r="C162" s="4"/>
      <c r="D162" s="5"/>
      <c r="G162" s="28"/>
      <c r="S162" s="8"/>
    </row>
    <row r="163" s="1" customFormat="1" spans="2:19">
      <c r="B163" s="4"/>
      <c r="C163" s="4"/>
      <c r="D163" s="5"/>
      <c r="G163" s="28"/>
      <c r="S163" s="8"/>
    </row>
    <row r="164" s="1" customFormat="1" spans="2:19">
      <c r="B164" s="4"/>
      <c r="C164" s="4"/>
      <c r="D164" s="5"/>
      <c r="G164" s="28"/>
      <c r="S164" s="8"/>
    </row>
    <row r="165" s="1" customFormat="1" spans="2:19">
      <c r="B165" s="4"/>
      <c r="C165" s="4"/>
      <c r="D165" s="5"/>
      <c r="G165" s="28"/>
      <c r="S165" s="8"/>
    </row>
    <row r="166" s="1" customFormat="1" spans="2:19">
      <c r="B166" s="4"/>
      <c r="C166" s="4"/>
      <c r="D166" s="5"/>
      <c r="G166" s="28"/>
      <c r="S166" s="8"/>
    </row>
    <row r="167" s="1" customFormat="1" spans="2:19">
      <c r="B167" s="4"/>
      <c r="C167" s="4"/>
      <c r="D167" s="5"/>
      <c r="G167" s="28"/>
      <c r="S167" s="8"/>
    </row>
    <row r="168" s="1" customFormat="1" spans="2:19">
      <c r="B168" s="4"/>
      <c r="C168" s="4"/>
      <c r="D168" s="5"/>
      <c r="G168" s="28"/>
      <c r="S168" s="8"/>
    </row>
    <row r="169" s="1" customFormat="1" spans="2:19">
      <c r="B169" s="4"/>
      <c r="C169" s="4"/>
      <c r="D169" s="5"/>
      <c r="G169" s="28"/>
      <c r="S169" s="8"/>
    </row>
    <row r="170" s="1" customFormat="1" spans="2:19">
      <c r="B170" s="4"/>
      <c r="C170" s="4"/>
      <c r="D170" s="5"/>
      <c r="G170" s="28"/>
      <c r="S170" s="8"/>
    </row>
    <row r="171" s="1" customFormat="1" spans="2:19">
      <c r="B171" s="4"/>
      <c r="C171" s="4"/>
      <c r="D171" s="5"/>
      <c r="G171" s="28"/>
      <c r="S171" s="8"/>
    </row>
    <row r="172" s="1" customFormat="1" spans="2:19">
      <c r="B172" s="4"/>
      <c r="C172" s="4"/>
      <c r="D172" s="5"/>
      <c r="G172" s="28"/>
      <c r="S172" s="8"/>
    </row>
    <row r="173" s="1" customFormat="1" spans="2:19">
      <c r="B173" s="4"/>
      <c r="C173" s="4"/>
      <c r="D173" s="5"/>
      <c r="G173" s="28"/>
      <c r="S173" s="8"/>
    </row>
    <row r="174" s="1" customFormat="1" spans="2:19">
      <c r="B174" s="4"/>
      <c r="C174" s="4"/>
      <c r="D174" s="5"/>
      <c r="G174" s="28"/>
      <c r="S174" s="8"/>
    </row>
    <row r="175" s="1" customFormat="1" spans="2:19">
      <c r="B175" s="4"/>
      <c r="C175" s="4"/>
      <c r="D175" s="5"/>
      <c r="G175" s="28"/>
      <c r="S175" s="8"/>
    </row>
    <row r="176" s="1" customFormat="1" spans="2:19">
      <c r="B176" s="4"/>
      <c r="C176" s="4"/>
      <c r="D176" s="5"/>
      <c r="G176" s="28"/>
      <c r="S176" s="8"/>
    </row>
    <row r="177" s="1" customFormat="1" spans="2:19">
      <c r="B177" s="4"/>
      <c r="C177" s="4"/>
      <c r="D177" s="5"/>
      <c r="G177" s="28"/>
      <c r="S177" s="8"/>
    </row>
    <row r="178" s="1" customFormat="1" spans="2:19">
      <c r="B178" s="4"/>
      <c r="C178" s="4"/>
      <c r="D178" s="5"/>
      <c r="G178" s="28"/>
      <c r="S178" s="8"/>
    </row>
    <row r="179" s="1" customFormat="1" spans="2:19">
      <c r="B179" s="4"/>
      <c r="C179" s="4"/>
      <c r="D179" s="5"/>
      <c r="G179" s="28"/>
      <c r="S179" s="8"/>
    </row>
    <row r="180" s="1" customFormat="1" spans="2:19">
      <c r="B180" s="4"/>
      <c r="C180" s="4"/>
      <c r="D180" s="5"/>
      <c r="G180" s="28"/>
      <c r="S180" s="8"/>
    </row>
    <row r="181" s="1" customFormat="1" spans="2:19">
      <c r="B181" s="4"/>
      <c r="C181" s="4"/>
      <c r="D181" s="5"/>
      <c r="G181" s="28"/>
      <c r="S181" s="8"/>
    </row>
    <row r="182" s="1" customFormat="1" spans="2:19">
      <c r="B182" s="4"/>
      <c r="C182" s="4"/>
      <c r="D182" s="5"/>
      <c r="G182" s="28"/>
      <c r="S182" s="8"/>
    </row>
    <row r="183" s="1" customFormat="1" spans="2:19">
      <c r="B183" s="4"/>
      <c r="C183" s="4"/>
      <c r="D183" s="5"/>
      <c r="G183" s="28"/>
      <c r="S183" s="8"/>
    </row>
    <row r="184" s="1" customFormat="1" spans="2:19">
      <c r="B184" s="4"/>
      <c r="C184" s="4"/>
      <c r="D184" s="5"/>
      <c r="G184" s="28"/>
      <c r="S184" s="8"/>
    </row>
    <row r="185" s="1" customFormat="1" spans="2:19">
      <c r="B185" s="4"/>
      <c r="C185" s="4"/>
      <c r="D185" s="5"/>
      <c r="G185" s="28"/>
      <c r="S185" s="8"/>
    </row>
    <row r="186" s="1" customFormat="1" spans="2:19">
      <c r="B186" s="4"/>
      <c r="C186" s="4"/>
      <c r="D186" s="5"/>
      <c r="G186" s="28"/>
      <c r="S186" s="8"/>
    </row>
    <row r="187" s="1" customFormat="1" spans="2:19">
      <c r="B187" s="4"/>
      <c r="C187" s="4"/>
      <c r="D187" s="5"/>
      <c r="G187" s="28"/>
      <c r="S187" s="8"/>
    </row>
    <row r="188" s="1" customFormat="1" spans="2:19">
      <c r="B188" s="4"/>
      <c r="C188" s="4"/>
      <c r="D188" s="5"/>
      <c r="G188" s="28"/>
      <c r="S188" s="8"/>
    </row>
    <row r="189" s="1" customFormat="1" spans="2:19">
      <c r="B189" s="4"/>
      <c r="C189" s="4"/>
      <c r="D189" s="5"/>
      <c r="G189" s="28"/>
      <c r="S189" s="8"/>
    </row>
    <row r="190" s="1" customFormat="1" spans="2:19">
      <c r="B190" s="4"/>
      <c r="C190" s="4"/>
      <c r="D190" s="5"/>
      <c r="G190" s="28"/>
      <c r="S190" s="8"/>
    </row>
    <row r="191" s="1" customFormat="1" spans="2:19">
      <c r="B191" s="4"/>
      <c r="C191" s="4"/>
      <c r="D191" s="5"/>
      <c r="G191" s="28"/>
      <c r="S191" s="8"/>
    </row>
    <row r="192" s="1" customFormat="1" spans="2:19">
      <c r="B192" s="4"/>
      <c r="C192" s="4"/>
      <c r="D192" s="5"/>
      <c r="G192" s="28"/>
      <c r="S192" s="8"/>
    </row>
    <row r="193" s="1" customFormat="1" spans="2:19">
      <c r="B193" s="4"/>
      <c r="C193" s="4"/>
      <c r="D193" s="5"/>
      <c r="G193" s="28"/>
      <c r="S193" s="8"/>
    </row>
    <row r="194" s="1" customFormat="1" spans="2:19">
      <c r="B194" s="4"/>
      <c r="C194" s="4"/>
      <c r="D194" s="5"/>
      <c r="G194" s="28"/>
      <c r="S194" s="8"/>
    </row>
    <row r="195" s="1" customFormat="1" spans="2:19">
      <c r="B195" s="4"/>
      <c r="C195" s="4"/>
      <c r="D195" s="5"/>
      <c r="G195" s="28"/>
      <c r="S195" s="8"/>
    </row>
    <row r="196" s="1" customFormat="1" spans="2:19">
      <c r="B196" s="4"/>
      <c r="C196" s="4"/>
      <c r="D196" s="5"/>
      <c r="G196" s="28"/>
      <c r="S196" s="8"/>
    </row>
    <row r="197" s="1" customFormat="1" spans="2:19">
      <c r="B197" s="4"/>
      <c r="C197" s="4"/>
      <c r="D197" s="5"/>
      <c r="G197" s="28"/>
      <c r="S197" s="8"/>
    </row>
    <row r="198" s="1" customFormat="1" spans="2:19">
      <c r="B198" s="4"/>
      <c r="C198" s="4"/>
      <c r="D198" s="5"/>
      <c r="G198" s="28"/>
      <c r="S198" s="8"/>
    </row>
    <row r="199" s="1" customFormat="1" spans="2:19">
      <c r="B199" s="4"/>
      <c r="C199" s="4"/>
      <c r="D199" s="5"/>
      <c r="G199" s="28"/>
      <c r="S199" s="8"/>
    </row>
    <row r="200" s="1" customFormat="1" spans="2:19">
      <c r="B200" s="4"/>
      <c r="C200" s="4"/>
      <c r="D200" s="5"/>
      <c r="G200" s="28"/>
      <c r="S200" s="8"/>
    </row>
    <row r="201" s="1" customFormat="1" spans="2:19">
      <c r="B201" s="4"/>
      <c r="C201" s="4"/>
      <c r="D201" s="5"/>
      <c r="G201" s="28"/>
      <c r="S201" s="8"/>
    </row>
    <row r="202" s="1" customFormat="1" spans="2:19">
      <c r="B202" s="4"/>
      <c r="C202" s="4"/>
      <c r="D202" s="5"/>
      <c r="G202" s="28"/>
      <c r="S202" s="8"/>
    </row>
    <row r="203" s="1" customFormat="1" spans="2:19">
      <c r="B203" s="4"/>
      <c r="C203" s="4"/>
      <c r="D203" s="5"/>
      <c r="G203" s="28"/>
      <c r="S203" s="8"/>
    </row>
    <row r="204" s="1" customFormat="1" spans="2:19">
      <c r="B204" s="4"/>
      <c r="C204" s="4"/>
      <c r="D204" s="5"/>
      <c r="G204" s="28"/>
      <c r="S204" s="8"/>
    </row>
    <row r="205" s="1" customFormat="1" spans="2:19">
      <c r="B205" s="4"/>
      <c r="C205" s="4"/>
      <c r="D205" s="5"/>
      <c r="G205" s="28"/>
      <c r="S205" s="8"/>
    </row>
    <row r="206" s="1" customFormat="1" spans="2:19">
      <c r="B206" s="4"/>
      <c r="C206" s="4"/>
      <c r="D206" s="5"/>
      <c r="G206" s="28"/>
      <c r="S206" s="8"/>
    </row>
    <row r="207" s="1" customFormat="1" spans="2:19">
      <c r="B207" s="4"/>
      <c r="C207" s="4"/>
      <c r="D207" s="5"/>
      <c r="G207" s="28"/>
      <c r="S207" s="8"/>
    </row>
    <row r="208" s="1" customFormat="1" spans="2:19">
      <c r="B208" s="4"/>
      <c r="C208" s="4"/>
      <c r="D208" s="5"/>
      <c r="G208" s="28"/>
      <c r="S208" s="8"/>
    </row>
    <row r="209" s="1" customFormat="1" spans="2:19">
      <c r="B209" s="4"/>
      <c r="C209" s="4"/>
      <c r="D209" s="5"/>
      <c r="G209" s="28"/>
      <c r="S209" s="8"/>
    </row>
    <row r="210" s="1" customFormat="1" spans="2:19">
      <c r="B210" s="4"/>
      <c r="C210" s="4"/>
      <c r="D210" s="5"/>
      <c r="G210" s="28"/>
      <c r="S210" s="8"/>
    </row>
    <row r="211" s="1" customFormat="1" spans="2:19">
      <c r="B211" s="4"/>
      <c r="C211" s="4"/>
      <c r="D211" s="5"/>
      <c r="G211" s="28"/>
      <c r="S211" s="8"/>
    </row>
    <row r="212" s="1" customFormat="1" spans="2:19">
      <c r="B212" s="4"/>
      <c r="C212" s="4"/>
      <c r="D212" s="5"/>
      <c r="G212" s="28"/>
      <c r="S212" s="8"/>
    </row>
    <row r="213" s="1" customFormat="1" spans="2:19">
      <c r="B213" s="4"/>
      <c r="C213" s="4"/>
      <c r="D213" s="5"/>
      <c r="G213" s="28"/>
      <c r="S213" s="8"/>
    </row>
    <row r="214" s="1" customFormat="1" spans="2:19">
      <c r="B214" s="4"/>
      <c r="C214" s="4"/>
      <c r="D214" s="5"/>
      <c r="G214" s="28"/>
      <c r="S214" s="8"/>
    </row>
    <row r="215" s="1" customFormat="1" spans="2:19">
      <c r="B215" s="4"/>
      <c r="C215" s="4"/>
      <c r="D215" s="5"/>
      <c r="G215" s="28"/>
      <c r="S215" s="8"/>
    </row>
    <row r="216" s="1" customFormat="1" spans="2:19">
      <c r="B216" s="4"/>
      <c r="C216" s="4"/>
      <c r="D216" s="5"/>
      <c r="G216" s="28"/>
      <c r="S216" s="8"/>
    </row>
    <row r="217" s="1" customFormat="1" spans="2:19">
      <c r="B217" s="4"/>
      <c r="C217" s="4"/>
      <c r="D217" s="5"/>
      <c r="G217" s="28"/>
      <c r="S217" s="8"/>
    </row>
    <row r="218" s="1" customFormat="1" spans="2:19">
      <c r="B218" s="4"/>
      <c r="C218" s="4"/>
      <c r="D218" s="5"/>
      <c r="G218" s="28"/>
      <c r="S218" s="8"/>
    </row>
    <row r="219" s="1" customFormat="1" spans="2:19">
      <c r="B219" s="4"/>
      <c r="C219" s="4"/>
      <c r="D219" s="5"/>
      <c r="G219" s="28"/>
      <c r="S219" s="8"/>
    </row>
    <row r="220" s="1" customFormat="1" spans="2:19">
      <c r="B220" s="4"/>
      <c r="C220" s="4"/>
      <c r="D220" s="5"/>
      <c r="G220" s="28"/>
      <c r="S220" s="8"/>
    </row>
    <row r="221" s="1" customFormat="1" spans="2:19">
      <c r="B221" s="4"/>
      <c r="C221" s="4"/>
      <c r="D221" s="5"/>
      <c r="G221" s="28"/>
      <c r="S221" s="8"/>
    </row>
    <row r="222" s="1" customFormat="1" spans="2:19">
      <c r="B222" s="4"/>
      <c r="C222" s="4"/>
      <c r="D222" s="5"/>
      <c r="G222" s="28"/>
      <c r="S222" s="8"/>
    </row>
    <row r="223" s="1" customFormat="1" spans="2:19">
      <c r="B223" s="4"/>
      <c r="C223" s="4"/>
      <c r="D223" s="5"/>
      <c r="G223" s="28"/>
      <c r="S223" s="8"/>
    </row>
    <row r="224" s="1" customFormat="1" spans="2:19">
      <c r="B224" s="4"/>
      <c r="C224" s="4"/>
      <c r="D224" s="5"/>
      <c r="G224" s="28"/>
      <c r="S224" s="8"/>
    </row>
    <row r="225" s="1" customFormat="1" spans="2:19">
      <c r="B225" s="4"/>
      <c r="C225" s="4"/>
      <c r="D225" s="5"/>
      <c r="G225" s="28"/>
      <c r="S225" s="8"/>
    </row>
    <row r="226" s="1" customFormat="1" spans="2:19">
      <c r="B226" s="4"/>
      <c r="C226" s="4"/>
      <c r="D226" s="5"/>
      <c r="G226" s="28"/>
      <c r="S226" s="8"/>
    </row>
    <row r="227" s="1" customFormat="1" spans="2:19">
      <c r="B227" s="4"/>
      <c r="C227" s="4"/>
      <c r="D227" s="5"/>
      <c r="G227" s="28"/>
      <c r="S227" s="8"/>
    </row>
    <row r="228" s="1" customFormat="1" spans="2:19">
      <c r="B228" s="4"/>
      <c r="C228" s="4"/>
      <c r="D228" s="5"/>
      <c r="G228" s="28"/>
      <c r="S228" s="8"/>
    </row>
    <row r="229" s="1" customFormat="1" spans="2:19">
      <c r="B229" s="4"/>
      <c r="C229" s="4"/>
      <c r="D229" s="5"/>
      <c r="G229" s="28"/>
      <c r="S229" s="8"/>
    </row>
    <row r="230" s="1" customFormat="1" spans="2:19">
      <c r="B230" s="4"/>
      <c r="C230" s="4"/>
      <c r="D230" s="5"/>
      <c r="G230" s="28"/>
      <c r="S230" s="8"/>
    </row>
    <row r="231" s="1" customFormat="1" spans="2:19">
      <c r="B231" s="4"/>
      <c r="C231" s="4"/>
      <c r="D231" s="5"/>
      <c r="G231" s="28"/>
      <c r="S231" s="8"/>
    </row>
    <row r="232" s="1" customFormat="1" spans="2:19">
      <c r="B232" s="4"/>
      <c r="C232" s="4"/>
      <c r="D232" s="5"/>
      <c r="G232" s="28"/>
      <c r="S232" s="8"/>
    </row>
    <row r="233" s="1" customFormat="1" spans="2:19">
      <c r="B233" s="4"/>
      <c r="C233" s="4"/>
      <c r="D233" s="5"/>
      <c r="G233" s="28"/>
      <c r="S233" s="8"/>
    </row>
    <row r="234" s="1" customFormat="1" spans="2:19">
      <c r="B234" s="4"/>
      <c r="C234" s="4"/>
      <c r="D234" s="5"/>
      <c r="G234" s="28"/>
      <c r="S234" s="8"/>
    </row>
    <row r="235" s="1" customFormat="1" spans="2:19">
      <c r="B235" s="4"/>
      <c r="C235" s="4"/>
      <c r="D235" s="5"/>
      <c r="G235" s="28"/>
      <c r="S235" s="8"/>
    </row>
    <row r="236" s="1" customFormat="1" spans="2:19">
      <c r="B236" s="4"/>
      <c r="C236" s="4"/>
      <c r="D236" s="5"/>
      <c r="G236" s="28"/>
      <c r="S236" s="8"/>
    </row>
    <row r="237" s="1" customFormat="1" spans="2:19">
      <c r="B237" s="4"/>
      <c r="C237" s="4"/>
      <c r="D237" s="5"/>
      <c r="G237" s="28"/>
      <c r="S237" s="8"/>
    </row>
    <row r="238" s="1" customFormat="1" spans="2:19">
      <c r="B238" s="4"/>
      <c r="C238" s="4"/>
      <c r="D238" s="5"/>
      <c r="G238" s="28"/>
      <c r="S238" s="8"/>
    </row>
    <row r="239" s="1" customFormat="1" spans="2:19">
      <c r="B239" s="4"/>
      <c r="C239" s="4"/>
      <c r="D239" s="5"/>
      <c r="G239" s="28"/>
      <c r="S239" s="8"/>
    </row>
    <row r="240" s="1" customFormat="1" spans="2:19">
      <c r="B240" s="4"/>
      <c r="C240" s="4"/>
      <c r="D240" s="5"/>
      <c r="G240" s="28"/>
      <c r="S240" s="8"/>
    </row>
    <row r="241" s="1" customFormat="1" spans="2:19">
      <c r="B241" s="4"/>
      <c r="C241" s="4"/>
      <c r="D241" s="5"/>
      <c r="G241" s="28"/>
      <c r="S241" s="8"/>
    </row>
    <row r="242" s="1" customFormat="1" spans="2:19">
      <c r="B242" s="4"/>
      <c r="C242" s="4"/>
      <c r="D242" s="5"/>
      <c r="G242" s="28"/>
      <c r="S242" s="8"/>
    </row>
    <row r="243" s="1" customFormat="1" spans="2:19">
      <c r="B243" s="4"/>
      <c r="C243" s="4"/>
      <c r="D243" s="5"/>
      <c r="G243" s="28"/>
      <c r="S243" s="8"/>
    </row>
    <row r="244" s="1" customFormat="1" spans="2:19">
      <c r="B244" s="4"/>
      <c r="C244" s="4"/>
      <c r="D244" s="5"/>
      <c r="G244" s="28"/>
      <c r="S244" s="8"/>
    </row>
    <row r="245" s="1" customFormat="1" spans="2:19">
      <c r="B245" s="4"/>
      <c r="C245" s="4"/>
      <c r="D245" s="5"/>
      <c r="G245" s="28"/>
      <c r="S245" s="8"/>
    </row>
    <row r="246" s="1" customFormat="1" spans="2:19">
      <c r="B246" s="4"/>
      <c r="C246" s="4"/>
      <c r="D246" s="5"/>
      <c r="G246" s="28"/>
      <c r="S246" s="8"/>
    </row>
    <row r="247" s="1" customFormat="1" spans="2:19">
      <c r="B247" s="4"/>
      <c r="C247" s="4"/>
      <c r="D247" s="5"/>
      <c r="G247" s="28"/>
      <c r="S247" s="8"/>
    </row>
    <row r="248" s="1" customFormat="1" spans="2:19">
      <c r="B248" s="4"/>
      <c r="C248" s="4"/>
      <c r="D248" s="5"/>
      <c r="G248" s="28"/>
      <c r="S248" s="8"/>
    </row>
    <row r="249" s="1" customFormat="1" spans="2:19">
      <c r="B249" s="4"/>
      <c r="C249" s="4"/>
      <c r="D249" s="5"/>
      <c r="G249" s="28"/>
      <c r="S249" s="8"/>
    </row>
    <row r="250" s="1" customFormat="1" spans="2:19">
      <c r="B250" s="4"/>
      <c r="C250" s="4"/>
      <c r="D250" s="5"/>
      <c r="G250" s="28"/>
      <c r="S250" s="8"/>
    </row>
    <row r="251" s="1" customFormat="1" spans="2:19">
      <c r="B251" s="4"/>
      <c r="C251" s="4"/>
      <c r="D251" s="5"/>
      <c r="G251" s="28"/>
      <c r="S251" s="8"/>
    </row>
    <row r="252" s="1" customFormat="1" spans="2:19">
      <c r="B252" s="4"/>
      <c r="C252" s="4"/>
      <c r="D252" s="5"/>
      <c r="G252" s="28"/>
      <c r="S252" s="8"/>
    </row>
    <row r="253" s="1" customFormat="1" spans="2:19">
      <c r="B253" s="4"/>
      <c r="C253" s="4"/>
      <c r="D253" s="5"/>
      <c r="G253" s="28"/>
      <c r="S253" s="8"/>
    </row>
    <row r="254" s="1" customFormat="1" spans="2:19">
      <c r="B254" s="4"/>
      <c r="C254" s="4"/>
      <c r="D254" s="5"/>
      <c r="G254" s="28"/>
      <c r="S254" s="8"/>
    </row>
    <row r="255" s="1" customFormat="1" spans="2:19">
      <c r="B255" s="4"/>
      <c r="C255" s="4"/>
      <c r="D255" s="5"/>
      <c r="G255" s="28"/>
      <c r="S255" s="8"/>
    </row>
    <row r="256" s="1" customFormat="1" ht="18.25" customHeight="1" spans="2:19">
      <c r="B256" s="4"/>
      <c r="C256" s="4"/>
      <c r="D256" s="5"/>
      <c r="G256" s="28"/>
      <c r="S256" s="8"/>
    </row>
    <row r="257" s="1" customFormat="1" spans="2:19">
      <c r="B257" s="4"/>
      <c r="C257" s="4"/>
      <c r="D257" s="5"/>
      <c r="G257" s="28"/>
      <c r="S257" s="8"/>
    </row>
    <row r="258" s="1" customFormat="1" spans="2:19">
      <c r="B258" s="4"/>
      <c r="C258" s="4"/>
      <c r="D258" s="5"/>
      <c r="G258" s="28"/>
      <c r="S258" s="8"/>
    </row>
    <row r="259" s="1" customFormat="1" spans="2:19">
      <c r="B259" s="4"/>
      <c r="C259" s="4"/>
      <c r="D259" s="5"/>
      <c r="G259" s="28"/>
      <c r="S259" s="8"/>
    </row>
    <row r="260" s="1" customFormat="1" spans="2:19">
      <c r="B260" s="4"/>
      <c r="C260" s="4"/>
      <c r="D260" s="5"/>
      <c r="G260" s="28"/>
      <c r="S260" s="8"/>
    </row>
    <row r="261" s="1" customFormat="1" spans="2:19">
      <c r="B261" s="4"/>
      <c r="C261" s="4"/>
      <c r="D261" s="5"/>
      <c r="G261" s="28"/>
      <c r="S261" s="8"/>
    </row>
    <row r="262" s="1" customFormat="1" spans="2:19">
      <c r="B262" s="4"/>
      <c r="C262" s="4"/>
      <c r="D262" s="5"/>
      <c r="G262" s="28"/>
      <c r="S262" s="8"/>
    </row>
    <row r="263" s="1" customFormat="1" spans="2:19">
      <c r="B263" s="4"/>
      <c r="C263" s="4"/>
      <c r="D263" s="5"/>
      <c r="G263" s="28"/>
      <c r="S263" s="8"/>
    </row>
    <row r="264" s="1" customFormat="1" spans="2:19">
      <c r="B264" s="4"/>
      <c r="C264" s="4"/>
      <c r="D264" s="5"/>
      <c r="G264" s="28"/>
      <c r="S264" s="8"/>
    </row>
    <row r="265" s="1" customFormat="1" spans="2:19">
      <c r="B265" s="4"/>
      <c r="C265" s="4"/>
      <c r="D265" s="5"/>
      <c r="G265" s="28"/>
      <c r="S265" s="8"/>
    </row>
    <row r="266" s="1" customFormat="1" spans="2:19">
      <c r="B266" s="4"/>
      <c r="C266" s="4"/>
      <c r="D266" s="5"/>
      <c r="G266" s="28"/>
      <c r="S266" s="8"/>
    </row>
    <row r="267" s="1" customFormat="1" spans="2:19">
      <c r="B267" s="4"/>
      <c r="C267" s="4"/>
      <c r="D267" s="5"/>
      <c r="G267" s="28"/>
      <c r="S267" s="8"/>
    </row>
    <row r="268" s="1" customFormat="1" spans="2:19">
      <c r="B268" s="4"/>
      <c r="C268" s="4"/>
      <c r="D268" s="5"/>
      <c r="G268" s="28"/>
      <c r="S268" s="8"/>
    </row>
    <row r="269" s="1" customFormat="1" spans="2:19">
      <c r="B269" s="4"/>
      <c r="C269" s="4"/>
      <c r="D269" s="5"/>
      <c r="G269" s="28"/>
      <c r="S269" s="8"/>
    </row>
    <row r="270" s="1" customFormat="1" spans="2:19">
      <c r="B270" s="4"/>
      <c r="C270" s="4"/>
      <c r="D270" s="5"/>
      <c r="G270" s="28"/>
      <c r="S270" s="8"/>
    </row>
    <row r="271" s="1" customFormat="1" spans="2:19">
      <c r="B271" s="4"/>
      <c r="C271" s="4"/>
      <c r="D271" s="5"/>
      <c r="G271" s="28"/>
      <c r="S271" s="8"/>
    </row>
    <row r="272" s="1" customFormat="1" spans="2:19">
      <c r="B272" s="4"/>
      <c r="C272" s="4"/>
      <c r="D272" s="5"/>
      <c r="G272" s="28"/>
      <c r="S272" s="8"/>
    </row>
    <row r="273" s="1" customFormat="1" spans="2:19">
      <c r="B273" s="4"/>
      <c r="C273" s="4"/>
      <c r="D273" s="5"/>
      <c r="G273" s="28"/>
      <c r="S273" s="8"/>
    </row>
    <row r="274" s="1" customFormat="1" spans="2:19">
      <c r="B274" s="4"/>
      <c r="C274" s="4"/>
      <c r="D274" s="5"/>
      <c r="G274" s="28"/>
      <c r="S274" s="8"/>
    </row>
    <row r="275" s="1" customFormat="1" spans="2:19">
      <c r="B275" s="4"/>
      <c r="C275" s="4"/>
      <c r="D275" s="5"/>
      <c r="G275" s="28"/>
      <c r="S275" s="8"/>
    </row>
    <row r="276" s="1" customFormat="1" spans="2:19">
      <c r="B276" s="4"/>
      <c r="C276" s="4"/>
      <c r="D276" s="5"/>
      <c r="G276" s="28"/>
      <c r="S276" s="8"/>
    </row>
    <row r="277" s="1" customFormat="1" spans="2:19">
      <c r="B277" s="4"/>
      <c r="C277" s="4"/>
      <c r="D277" s="5"/>
      <c r="G277" s="28"/>
      <c r="S277" s="8"/>
    </row>
    <row r="278" s="1" customFormat="1" spans="2:19">
      <c r="B278" s="4"/>
      <c r="C278" s="4"/>
      <c r="D278" s="5"/>
      <c r="G278" s="28"/>
      <c r="S278" s="8"/>
    </row>
    <row r="279" s="1" customFormat="1" spans="2:19">
      <c r="B279" s="4"/>
      <c r="C279" s="4"/>
      <c r="D279" s="5"/>
      <c r="G279" s="28"/>
      <c r="S279" s="8"/>
    </row>
    <row r="280" s="1" customFormat="1" spans="2:19">
      <c r="B280" s="4"/>
      <c r="C280" s="4"/>
      <c r="D280" s="5"/>
      <c r="G280" s="28"/>
      <c r="S280" s="8"/>
    </row>
    <row r="281" s="1" customFormat="1" spans="2:19">
      <c r="B281" s="4"/>
      <c r="C281" s="4"/>
      <c r="D281" s="5"/>
      <c r="G281" s="28"/>
      <c r="S281" s="8"/>
    </row>
    <row r="282" s="1" customFormat="1" spans="2:19">
      <c r="B282" s="4"/>
      <c r="C282" s="4"/>
      <c r="D282" s="5"/>
      <c r="G282" s="28"/>
      <c r="S282" s="8"/>
    </row>
    <row r="283" s="1" customFormat="1" spans="2:19">
      <c r="B283" s="4"/>
      <c r="C283" s="4"/>
      <c r="D283" s="5"/>
      <c r="G283" s="28"/>
      <c r="S283" s="8"/>
    </row>
    <row r="284" s="1" customFormat="1" spans="2:19">
      <c r="B284" s="4"/>
      <c r="C284" s="4"/>
      <c r="D284" s="5"/>
      <c r="G284" s="28"/>
      <c r="S284" s="8"/>
    </row>
    <row r="285" s="1" customFormat="1" spans="2:19">
      <c r="B285" s="4"/>
      <c r="C285" s="4"/>
      <c r="D285" s="5"/>
      <c r="G285" s="28"/>
      <c r="S285" s="8"/>
    </row>
    <row r="286" s="1" customFormat="1" spans="2:19">
      <c r="B286" s="4"/>
      <c r="C286" s="4"/>
      <c r="D286" s="5"/>
      <c r="G286" s="28"/>
      <c r="S286" s="8"/>
    </row>
    <row r="287" s="1" customFormat="1" spans="2:19">
      <c r="B287" s="4"/>
      <c r="C287" s="4"/>
      <c r="D287" s="5"/>
      <c r="G287" s="28"/>
      <c r="S287" s="8"/>
    </row>
    <row r="288" s="1" customFormat="1" spans="2:19">
      <c r="B288" s="4"/>
      <c r="C288" s="4"/>
      <c r="D288" s="5"/>
      <c r="G288" s="28"/>
      <c r="S288" s="8"/>
    </row>
    <row r="289" s="1" customFormat="1" spans="2:19">
      <c r="B289" s="4"/>
      <c r="C289" s="4"/>
      <c r="D289" s="5"/>
      <c r="G289" s="28"/>
      <c r="S289" s="8"/>
    </row>
    <row r="290" s="1" customFormat="1" spans="2:19">
      <c r="B290" s="4"/>
      <c r="C290" s="4"/>
      <c r="D290" s="5"/>
      <c r="G290" s="28"/>
      <c r="S290" s="8"/>
    </row>
    <row r="291" s="1" customFormat="1" spans="2:19">
      <c r="B291" s="4"/>
      <c r="C291" s="4"/>
      <c r="D291" s="5"/>
      <c r="G291" s="28"/>
      <c r="S291" s="8"/>
    </row>
    <row r="292" s="1" customFormat="1" spans="2:19">
      <c r="B292" s="4"/>
      <c r="C292" s="4"/>
      <c r="D292" s="5"/>
      <c r="G292" s="28"/>
      <c r="S292" s="8"/>
    </row>
    <row r="293" s="1" customFormat="1" spans="2:19">
      <c r="B293" s="4"/>
      <c r="C293" s="4"/>
      <c r="D293" s="5"/>
      <c r="G293" s="28"/>
      <c r="S293" s="8"/>
    </row>
    <row r="294" s="1" customFormat="1" spans="2:19">
      <c r="B294" s="4"/>
      <c r="C294" s="4"/>
      <c r="D294" s="5"/>
      <c r="G294" s="28"/>
      <c r="S294" s="8"/>
    </row>
    <row r="295" s="1" customFormat="1" spans="2:19">
      <c r="B295" s="4"/>
      <c r="C295" s="4"/>
      <c r="D295" s="5"/>
      <c r="G295" s="28"/>
      <c r="S295" s="8"/>
    </row>
    <row r="296" s="1" customFormat="1" spans="2:19">
      <c r="B296" s="4"/>
      <c r="C296" s="4"/>
      <c r="D296" s="5"/>
      <c r="G296" s="28"/>
      <c r="S296" s="8"/>
    </row>
    <row r="297" s="1" customFormat="1" spans="2:19">
      <c r="B297" s="4"/>
      <c r="C297" s="4"/>
      <c r="D297" s="5"/>
      <c r="G297" s="28"/>
      <c r="S297" s="8"/>
    </row>
    <row r="298" s="1" customFormat="1" spans="2:19">
      <c r="B298" s="4"/>
      <c r="C298" s="4"/>
      <c r="D298" s="5"/>
      <c r="G298" s="28"/>
      <c r="S298" s="8"/>
    </row>
    <row r="299" s="1" customFormat="1" spans="2:19">
      <c r="B299" s="4"/>
      <c r="C299" s="4"/>
      <c r="D299" s="5"/>
      <c r="G299" s="28"/>
      <c r="S299" s="8"/>
    </row>
    <row r="300" s="1" customFormat="1" spans="2:19">
      <c r="B300" s="4"/>
      <c r="C300" s="4"/>
      <c r="D300" s="5"/>
      <c r="G300" s="28"/>
      <c r="S300" s="8"/>
    </row>
    <row r="301" s="1" customFormat="1" spans="2:19">
      <c r="B301" s="4"/>
      <c r="C301" s="4"/>
      <c r="D301" s="5"/>
      <c r="G301" s="28"/>
      <c r="S301" s="8"/>
    </row>
    <row r="302" s="1" customFormat="1" spans="2:19">
      <c r="B302" s="4"/>
      <c r="C302" s="4"/>
      <c r="D302" s="5"/>
      <c r="G302" s="28"/>
      <c r="S302" s="8"/>
    </row>
    <row r="303" s="1" customFormat="1" spans="2:19">
      <c r="B303" s="4"/>
      <c r="C303" s="4"/>
      <c r="D303" s="5"/>
      <c r="G303" s="28"/>
      <c r="S303" s="8"/>
    </row>
    <row r="304" s="1" customFormat="1" spans="2:19">
      <c r="B304" s="4"/>
      <c r="C304" s="4"/>
      <c r="D304" s="5"/>
      <c r="G304" s="28"/>
      <c r="S304" s="8"/>
    </row>
    <row r="305" s="1" customFormat="1" spans="2:19">
      <c r="B305" s="4"/>
      <c r="C305" s="4"/>
      <c r="D305" s="5"/>
      <c r="G305" s="28"/>
      <c r="S305" s="8"/>
    </row>
    <row r="306" s="1" customFormat="1" spans="2:19">
      <c r="B306" s="4"/>
      <c r="C306" s="4"/>
      <c r="D306" s="5"/>
      <c r="G306" s="28"/>
      <c r="S306" s="8"/>
    </row>
    <row r="307" s="1" customFormat="1" spans="2:19">
      <c r="B307" s="4"/>
      <c r="C307" s="4"/>
      <c r="D307" s="5"/>
      <c r="G307" s="28"/>
      <c r="S307" s="8"/>
    </row>
    <row r="308" s="1" customFormat="1" spans="2:19">
      <c r="B308" s="4"/>
      <c r="C308" s="4"/>
      <c r="D308" s="5"/>
      <c r="G308" s="28"/>
      <c r="S308" s="8"/>
    </row>
    <row r="309" s="1" customFormat="1" spans="2:19">
      <c r="B309" s="4"/>
      <c r="C309" s="4"/>
      <c r="D309" s="5"/>
      <c r="G309" s="28"/>
      <c r="S309" s="8"/>
    </row>
    <row r="310" s="1" customFormat="1" spans="2:19">
      <c r="B310" s="4"/>
      <c r="C310" s="4"/>
      <c r="D310" s="5"/>
      <c r="G310" s="28"/>
      <c r="S310" s="8"/>
    </row>
    <row r="311" s="1" customFormat="1" spans="2:19">
      <c r="B311" s="4"/>
      <c r="C311" s="4"/>
      <c r="D311" s="5"/>
      <c r="G311" s="28"/>
      <c r="S311" s="8"/>
    </row>
    <row r="312" s="1" customFormat="1" spans="2:19">
      <c r="B312" s="4"/>
      <c r="C312" s="4"/>
      <c r="D312" s="5"/>
      <c r="G312" s="28"/>
      <c r="S312" s="8"/>
    </row>
    <row r="313" s="1" customFormat="1" spans="2:19">
      <c r="B313" s="4"/>
      <c r="C313" s="4"/>
      <c r="D313" s="5"/>
      <c r="G313" s="28"/>
      <c r="S313" s="8"/>
    </row>
    <row r="314" s="1" customFormat="1" spans="2:19">
      <c r="B314" s="4"/>
      <c r="C314" s="4"/>
      <c r="D314" s="5"/>
      <c r="G314" s="28"/>
      <c r="S314" s="8"/>
    </row>
    <row r="315" s="1" customFormat="1" spans="2:19">
      <c r="B315" s="4"/>
      <c r="C315" s="4"/>
      <c r="D315" s="5"/>
      <c r="G315" s="28"/>
      <c r="S315" s="8"/>
    </row>
    <row r="316" s="1" customFormat="1" spans="2:19">
      <c r="B316" s="4"/>
      <c r="C316" s="4"/>
      <c r="D316" s="5"/>
      <c r="G316" s="28"/>
      <c r="S316" s="8"/>
    </row>
    <row r="317" s="1" customFormat="1" spans="2:19">
      <c r="B317" s="4"/>
      <c r="C317" s="4"/>
      <c r="D317" s="5"/>
      <c r="G317" s="28"/>
      <c r="S317" s="8"/>
    </row>
    <row r="318" s="1" customFormat="1" spans="2:19">
      <c r="B318" s="4"/>
      <c r="C318" s="4"/>
      <c r="D318" s="5"/>
      <c r="G318" s="28"/>
      <c r="S318" s="8"/>
    </row>
    <row r="319" s="1" customFormat="1" spans="2:19">
      <c r="B319" s="4"/>
      <c r="C319" s="4"/>
      <c r="D319" s="5"/>
      <c r="G319" s="28"/>
      <c r="S319" s="8"/>
    </row>
    <row r="320" s="1" customFormat="1" spans="2:19">
      <c r="B320" s="4"/>
      <c r="C320" s="4"/>
      <c r="D320" s="5"/>
      <c r="G320" s="28"/>
      <c r="S320" s="8"/>
    </row>
    <row r="321" s="1" customFormat="1" spans="2:19">
      <c r="B321" s="4"/>
      <c r="C321" s="4"/>
      <c r="D321" s="5"/>
      <c r="G321" s="28"/>
      <c r="S321" s="8"/>
    </row>
    <row r="322" s="1" customFormat="1" spans="2:19">
      <c r="B322" s="4"/>
      <c r="C322" s="4"/>
      <c r="D322" s="5"/>
      <c r="G322" s="28"/>
      <c r="S322" s="8"/>
    </row>
    <row r="323" s="1" customFormat="1" spans="2:19">
      <c r="B323" s="4"/>
      <c r="C323" s="4"/>
      <c r="D323" s="5"/>
      <c r="G323" s="28"/>
      <c r="S323" s="8"/>
    </row>
    <row r="324" s="1" customFormat="1" spans="2:19">
      <c r="B324" s="4"/>
      <c r="C324" s="4"/>
      <c r="D324" s="5"/>
      <c r="G324" s="28"/>
      <c r="S324" s="8"/>
    </row>
    <row r="325" s="1" customFormat="1" spans="2:19">
      <c r="B325" s="4"/>
      <c r="C325" s="4"/>
      <c r="D325" s="5"/>
      <c r="G325" s="28"/>
      <c r="S325" s="8"/>
    </row>
    <row r="326" s="1" customFormat="1" spans="2:19">
      <c r="B326" s="4"/>
      <c r="C326" s="4"/>
      <c r="D326" s="5"/>
      <c r="G326" s="28"/>
      <c r="S326" s="8"/>
    </row>
    <row r="327" s="1" customFormat="1" spans="2:19">
      <c r="B327" s="4"/>
      <c r="C327" s="4"/>
      <c r="D327" s="5"/>
      <c r="G327" s="28"/>
      <c r="S327" s="8"/>
    </row>
    <row r="328" s="1" customFormat="1" spans="2:19">
      <c r="B328" s="4"/>
      <c r="C328" s="4"/>
      <c r="D328" s="5"/>
      <c r="G328" s="28"/>
      <c r="S328" s="8"/>
    </row>
    <row r="329" s="1" customFormat="1" spans="2:19">
      <c r="B329" s="4"/>
      <c r="C329" s="4"/>
      <c r="D329" s="5"/>
      <c r="G329" s="28"/>
      <c r="S329" s="8"/>
    </row>
    <row r="330" s="1" customFormat="1" spans="2:19">
      <c r="B330" s="4"/>
      <c r="C330" s="4"/>
      <c r="D330" s="5"/>
      <c r="G330" s="28"/>
      <c r="S330" s="8"/>
    </row>
    <row r="331" s="1" customFormat="1" spans="2:19">
      <c r="B331" s="4"/>
      <c r="C331" s="4"/>
      <c r="D331" s="5"/>
      <c r="G331" s="28"/>
      <c r="S331" s="8"/>
    </row>
    <row r="332" s="1" customFormat="1" spans="2:19">
      <c r="B332" s="4"/>
      <c r="C332" s="4"/>
      <c r="D332" s="5"/>
      <c r="G332" s="28"/>
      <c r="S332" s="8"/>
    </row>
    <row r="333" s="1" customFormat="1" spans="2:19">
      <c r="B333" s="4"/>
      <c r="C333" s="4"/>
      <c r="D333" s="5"/>
      <c r="G333" s="28"/>
      <c r="S333" s="8"/>
    </row>
    <row r="334" s="1" customFormat="1" spans="2:19">
      <c r="B334" s="4"/>
      <c r="C334" s="4"/>
      <c r="D334" s="5"/>
      <c r="G334" s="28"/>
      <c r="S334" s="8"/>
    </row>
    <row r="335" s="1" customFormat="1" spans="2:19">
      <c r="B335" s="4"/>
      <c r="C335" s="4"/>
      <c r="D335" s="5"/>
      <c r="G335" s="28"/>
      <c r="S335" s="8"/>
    </row>
    <row r="336" s="1" customFormat="1" spans="2:19">
      <c r="B336" s="4"/>
      <c r="C336" s="4"/>
      <c r="D336" s="5"/>
      <c r="G336" s="28"/>
      <c r="S336" s="8"/>
    </row>
    <row r="337" s="1" customFormat="1" spans="2:19">
      <c r="B337" s="4"/>
      <c r="C337" s="4"/>
      <c r="D337" s="5"/>
      <c r="G337" s="28"/>
      <c r="S337" s="8"/>
    </row>
    <row r="338" s="1" customFormat="1" spans="2:19">
      <c r="B338" s="4"/>
      <c r="C338" s="4"/>
      <c r="D338" s="5"/>
      <c r="G338" s="28"/>
      <c r="S338" s="8"/>
    </row>
    <row r="339" s="1" customFormat="1" spans="2:19">
      <c r="B339" s="4"/>
      <c r="C339" s="4"/>
      <c r="D339" s="5"/>
      <c r="G339" s="28"/>
      <c r="S339" s="8"/>
    </row>
    <row r="340" s="1" customFormat="1" spans="2:19">
      <c r="B340" s="4"/>
      <c r="C340" s="4"/>
      <c r="D340" s="5"/>
      <c r="G340" s="28"/>
      <c r="S340" s="8"/>
    </row>
    <row r="341" s="1" customFormat="1" spans="2:19">
      <c r="B341" s="4"/>
      <c r="C341" s="4"/>
      <c r="D341" s="5"/>
      <c r="G341" s="28"/>
      <c r="S341" s="8"/>
    </row>
    <row r="342" s="1" customFormat="1" spans="2:19">
      <c r="B342" s="4"/>
      <c r="C342" s="4"/>
      <c r="D342" s="5"/>
      <c r="G342" s="28"/>
      <c r="S342" s="8"/>
    </row>
    <row r="343" s="1" customFormat="1" spans="2:19">
      <c r="B343" s="4"/>
      <c r="C343" s="4"/>
      <c r="D343" s="5"/>
      <c r="G343" s="28"/>
      <c r="S343" s="8"/>
    </row>
    <row r="344" s="1" customFormat="1" spans="2:19">
      <c r="B344" s="4"/>
      <c r="C344" s="4"/>
      <c r="D344" s="5"/>
      <c r="G344" s="28"/>
      <c r="S344" s="8"/>
    </row>
    <row r="345" s="1" customFormat="1" spans="2:19">
      <c r="B345" s="4"/>
      <c r="C345" s="4"/>
      <c r="D345" s="5"/>
      <c r="G345" s="28"/>
      <c r="S345" s="8"/>
    </row>
    <row r="346" s="1" customFormat="1" spans="2:19">
      <c r="B346" s="4"/>
      <c r="C346" s="4"/>
      <c r="D346" s="5"/>
      <c r="G346" s="28"/>
      <c r="S346" s="8"/>
    </row>
    <row r="347" s="1" customFormat="1" spans="2:19">
      <c r="B347" s="4"/>
      <c r="C347" s="4"/>
      <c r="D347" s="5"/>
      <c r="G347" s="28"/>
      <c r="S347" s="8"/>
    </row>
    <row r="348" s="1" customFormat="1" spans="2:19">
      <c r="B348" s="4"/>
      <c r="C348" s="4"/>
      <c r="D348" s="5"/>
      <c r="G348" s="28"/>
      <c r="S348" s="8"/>
    </row>
    <row r="349" s="1" customFormat="1" spans="2:19">
      <c r="B349" s="4"/>
      <c r="C349" s="4"/>
      <c r="D349" s="5"/>
      <c r="G349" s="28"/>
      <c r="S349" s="8"/>
    </row>
    <row r="350" s="1" customFormat="1" spans="2:19">
      <c r="B350" s="4"/>
      <c r="C350" s="4"/>
      <c r="D350" s="5"/>
      <c r="G350" s="28"/>
      <c r="S350" s="8"/>
    </row>
    <row r="351" s="1" customFormat="1" spans="2:19">
      <c r="B351" s="4"/>
      <c r="C351" s="4"/>
      <c r="D351" s="5"/>
      <c r="G351" s="28"/>
      <c r="S351" s="8"/>
    </row>
    <row r="352" s="1" customFormat="1" spans="2:19">
      <c r="B352" s="4"/>
      <c r="C352" s="4"/>
      <c r="D352" s="5"/>
      <c r="G352" s="28"/>
      <c r="S352" s="8"/>
    </row>
    <row r="353" s="1" customFormat="1" spans="2:19">
      <c r="B353" s="4"/>
      <c r="C353" s="4"/>
      <c r="D353" s="5"/>
      <c r="G353" s="28"/>
      <c r="S353" s="8"/>
    </row>
    <row r="354" s="1" customFormat="1" spans="2:19">
      <c r="B354" s="4"/>
      <c r="C354" s="4"/>
      <c r="D354" s="5"/>
      <c r="G354" s="28"/>
      <c r="S354" s="8"/>
    </row>
    <row r="355" s="1" customFormat="1" spans="2:19">
      <c r="B355" s="4"/>
      <c r="C355" s="4"/>
      <c r="D355" s="5"/>
      <c r="G355" s="28"/>
      <c r="S355" s="8"/>
    </row>
    <row r="356" s="1" customFormat="1" spans="2:19">
      <c r="B356" s="4"/>
      <c r="C356" s="4"/>
      <c r="D356" s="5"/>
      <c r="G356" s="28"/>
      <c r="S356" s="8"/>
    </row>
    <row r="357" s="1" customFormat="1" spans="2:19">
      <c r="B357" s="4"/>
      <c r="C357" s="4"/>
      <c r="D357" s="5"/>
      <c r="G357" s="28"/>
      <c r="S357" s="8"/>
    </row>
    <row r="358" s="1" customFormat="1" spans="2:19">
      <c r="B358" s="4"/>
      <c r="C358" s="4"/>
      <c r="D358" s="5"/>
      <c r="G358" s="28"/>
      <c r="S358" s="8"/>
    </row>
    <row r="359" s="1" customFormat="1" spans="2:19">
      <c r="B359" s="4"/>
      <c r="C359" s="4"/>
      <c r="D359" s="5"/>
      <c r="G359" s="28"/>
      <c r="S359" s="8"/>
    </row>
    <row r="360" s="1" customFormat="1" spans="2:19">
      <c r="B360" s="4"/>
      <c r="C360" s="4"/>
      <c r="D360" s="5"/>
      <c r="G360" s="28"/>
      <c r="S360" s="8"/>
    </row>
    <row r="361" s="1" customFormat="1" spans="2:19">
      <c r="B361" s="4"/>
      <c r="C361" s="4"/>
      <c r="D361" s="5"/>
      <c r="G361" s="28"/>
      <c r="S361" s="8"/>
    </row>
    <row r="362" s="1" customFormat="1" spans="2:19">
      <c r="B362" s="4"/>
      <c r="C362" s="4"/>
      <c r="D362" s="5"/>
      <c r="G362" s="28"/>
      <c r="S362" s="8"/>
    </row>
    <row r="363" s="1" customFormat="1" spans="2:19">
      <c r="B363" s="4"/>
      <c r="C363" s="4"/>
      <c r="D363" s="5"/>
      <c r="G363" s="28"/>
      <c r="S363" s="8"/>
    </row>
    <row r="364" s="1" customFormat="1" spans="2:19">
      <c r="B364" s="4"/>
      <c r="C364" s="4"/>
      <c r="D364" s="5"/>
      <c r="G364" s="28"/>
      <c r="S364" s="8"/>
    </row>
    <row r="365" s="1" customFormat="1" spans="2:19">
      <c r="B365" s="4"/>
      <c r="C365" s="4"/>
      <c r="D365" s="5"/>
      <c r="G365" s="28"/>
      <c r="S365" s="8"/>
    </row>
    <row r="366" s="1" customFormat="1" spans="2:19">
      <c r="B366" s="4"/>
      <c r="C366" s="4"/>
      <c r="D366" s="5"/>
      <c r="G366" s="28"/>
      <c r="S366" s="8"/>
    </row>
    <row r="367" s="1" customFormat="1" spans="2:19">
      <c r="B367" s="4"/>
      <c r="C367" s="4"/>
      <c r="D367" s="5"/>
      <c r="G367" s="28"/>
      <c r="S367" s="8"/>
    </row>
    <row r="368" s="1" customFormat="1" spans="2:19">
      <c r="B368" s="4"/>
      <c r="C368" s="4"/>
      <c r="D368" s="5"/>
      <c r="G368" s="28"/>
      <c r="S368" s="8"/>
    </row>
    <row r="369" s="1" customFormat="1" spans="2:19">
      <c r="B369" s="4"/>
      <c r="C369" s="4"/>
      <c r="D369" s="5"/>
      <c r="G369" s="28"/>
      <c r="S369" s="8"/>
    </row>
    <row r="370" s="1" customFormat="1" spans="2:19">
      <c r="B370" s="4"/>
      <c r="C370" s="4"/>
      <c r="D370" s="5"/>
      <c r="G370" s="28"/>
      <c r="S370" s="8"/>
    </row>
    <row r="371" s="1" customFormat="1" spans="2:19">
      <c r="B371" s="4"/>
      <c r="C371" s="4"/>
      <c r="D371" s="5"/>
      <c r="G371" s="28"/>
      <c r="S371" s="8"/>
    </row>
    <row r="372" s="1" customFormat="1" spans="2:19">
      <c r="B372" s="4"/>
      <c r="C372" s="4"/>
      <c r="D372" s="5"/>
      <c r="G372" s="28"/>
      <c r="S372" s="8"/>
    </row>
    <row r="373" s="1" customFormat="1" spans="2:19">
      <c r="B373" s="4"/>
      <c r="C373" s="4"/>
      <c r="D373" s="5"/>
      <c r="G373" s="28"/>
      <c r="S373" s="8"/>
    </row>
    <row r="374" s="1" customFormat="1" spans="2:19">
      <c r="B374" s="4"/>
      <c r="C374" s="4"/>
      <c r="D374" s="5"/>
      <c r="G374" s="28"/>
      <c r="S374" s="8"/>
    </row>
    <row r="375" s="1" customFormat="1" spans="2:19">
      <c r="B375" s="4"/>
      <c r="C375" s="4"/>
      <c r="D375" s="5"/>
      <c r="G375" s="28"/>
      <c r="S375" s="8"/>
    </row>
    <row r="376" s="1" customFormat="1" spans="2:19">
      <c r="B376" s="4"/>
      <c r="C376" s="4"/>
      <c r="D376" s="5"/>
      <c r="G376" s="28"/>
      <c r="S376" s="8"/>
    </row>
    <row r="377" s="1" customFormat="1" spans="2:19">
      <c r="B377" s="4"/>
      <c r="C377" s="4"/>
      <c r="D377" s="5"/>
      <c r="G377" s="28"/>
      <c r="S377" s="8"/>
    </row>
    <row r="378" s="1" customFormat="1" spans="2:19">
      <c r="B378" s="4"/>
      <c r="C378" s="4"/>
      <c r="D378" s="5"/>
      <c r="G378" s="28"/>
      <c r="S378" s="8"/>
    </row>
    <row r="379" s="1" customFormat="1" spans="2:19">
      <c r="B379" s="4"/>
      <c r="C379" s="4"/>
      <c r="D379" s="5"/>
      <c r="G379" s="28"/>
      <c r="S379" s="8"/>
    </row>
    <row r="380" s="1" customFormat="1" spans="2:19">
      <c r="B380" s="4"/>
      <c r="C380" s="4"/>
      <c r="D380" s="5"/>
      <c r="G380" s="28"/>
      <c r="S380" s="8"/>
    </row>
    <row r="381" s="1" customFormat="1" spans="2:19">
      <c r="B381" s="4"/>
      <c r="C381" s="4"/>
      <c r="D381" s="5"/>
      <c r="G381" s="28"/>
      <c r="S381" s="8"/>
    </row>
    <row r="382" s="1" customFormat="1" spans="2:19">
      <c r="B382" s="4"/>
      <c r="C382" s="4"/>
      <c r="D382" s="5"/>
      <c r="G382" s="28"/>
      <c r="S382" s="8"/>
    </row>
    <row r="383" s="1" customFormat="1" spans="2:19">
      <c r="B383" s="4"/>
      <c r="C383" s="4"/>
      <c r="D383" s="5"/>
      <c r="G383" s="28"/>
      <c r="S383" s="8"/>
    </row>
    <row r="384" s="1" customFormat="1" spans="2:19">
      <c r="B384" s="4"/>
      <c r="C384" s="4"/>
      <c r="D384" s="5"/>
      <c r="G384" s="28"/>
      <c r="S384" s="8"/>
    </row>
    <row r="385" s="1" customFormat="1" spans="2:19">
      <c r="B385" s="4"/>
      <c r="C385" s="4"/>
      <c r="D385" s="5"/>
      <c r="G385" s="28"/>
      <c r="S385" s="8"/>
    </row>
    <row r="386" s="1" customFormat="1" spans="2:19">
      <c r="B386" s="4"/>
      <c r="C386" s="4"/>
      <c r="D386" s="5"/>
      <c r="G386" s="28"/>
      <c r="S386" s="8"/>
    </row>
    <row r="387" s="1" customFormat="1" spans="2:19">
      <c r="B387" s="4"/>
      <c r="C387" s="4"/>
      <c r="D387" s="5"/>
      <c r="G387" s="28"/>
      <c r="S387" s="8"/>
    </row>
    <row r="388" s="1" customFormat="1" spans="2:19">
      <c r="B388" s="4"/>
      <c r="C388" s="4"/>
      <c r="D388" s="5"/>
      <c r="G388" s="28"/>
      <c r="S388" s="8"/>
    </row>
    <row r="389" s="1" customFormat="1" spans="2:19">
      <c r="B389" s="4"/>
      <c r="C389" s="4"/>
      <c r="D389" s="5"/>
      <c r="G389" s="28"/>
      <c r="S389" s="8"/>
    </row>
    <row r="390" s="1" customFormat="1" spans="2:19">
      <c r="B390" s="4"/>
      <c r="C390" s="4"/>
      <c r="D390" s="5"/>
      <c r="G390" s="28"/>
      <c r="S390" s="8"/>
    </row>
    <row r="391" s="1" customFormat="1" spans="2:19">
      <c r="B391" s="4"/>
      <c r="C391" s="4"/>
      <c r="D391" s="5"/>
      <c r="G391" s="28"/>
      <c r="S391" s="8"/>
    </row>
    <row r="392" s="1" customFormat="1" spans="2:19">
      <c r="B392" s="4"/>
      <c r="C392" s="4"/>
      <c r="D392" s="5"/>
      <c r="G392" s="28"/>
      <c r="S392" s="8"/>
    </row>
    <row r="393" s="1" customFormat="1" spans="2:19">
      <c r="B393" s="4"/>
      <c r="C393" s="4"/>
      <c r="D393" s="5"/>
      <c r="G393" s="28"/>
      <c r="S393" s="8"/>
    </row>
    <row r="394" s="1" customFormat="1" spans="2:19">
      <c r="B394" s="4"/>
      <c r="C394" s="4"/>
      <c r="D394" s="5"/>
      <c r="G394" s="28"/>
      <c r="S394" s="8"/>
    </row>
    <row r="395" s="1" customFormat="1" spans="2:19">
      <c r="B395" s="4"/>
      <c r="C395" s="4"/>
      <c r="D395" s="5"/>
      <c r="G395" s="28"/>
      <c r="S395" s="8"/>
    </row>
    <row r="396" s="1" customFormat="1" spans="2:19">
      <c r="B396" s="4"/>
      <c r="C396" s="4"/>
      <c r="D396" s="5"/>
      <c r="G396" s="28"/>
      <c r="S396" s="8"/>
    </row>
    <row r="397" s="1" customFormat="1" spans="2:19">
      <c r="B397" s="4"/>
      <c r="C397" s="4"/>
      <c r="D397" s="5"/>
      <c r="G397" s="28"/>
      <c r="S397" s="8"/>
    </row>
    <row r="398" s="1" customFormat="1" spans="2:19">
      <c r="B398" s="4"/>
      <c r="C398" s="4"/>
      <c r="D398" s="5"/>
      <c r="G398" s="28"/>
      <c r="S398" s="8"/>
    </row>
    <row r="399" s="1" customFormat="1" spans="2:19">
      <c r="B399" s="4"/>
      <c r="C399" s="4"/>
      <c r="D399" s="5"/>
      <c r="G399" s="28"/>
      <c r="S399" s="8"/>
    </row>
    <row r="400" s="1" customFormat="1" spans="2:19">
      <c r="B400" s="4"/>
      <c r="C400" s="4"/>
      <c r="D400" s="5"/>
      <c r="G400" s="28"/>
      <c r="S400" s="8"/>
    </row>
    <row r="401" s="1" customFormat="1" spans="2:19">
      <c r="B401" s="4"/>
      <c r="C401" s="4"/>
      <c r="D401" s="5"/>
      <c r="G401" s="28"/>
      <c r="S401" s="8"/>
    </row>
    <row r="402" s="1" customFormat="1" spans="2:19">
      <c r="B402" s="4"/>
      <c r="C402" s="4"/>
      <c r="D402" s="5"/>
      <c r="G402" s="28"/>
      <c r="S402" s="8"/>
    </row>
    <row r="403" s="1" customFormat="1" spans="2:19">
      <c r="B403" s="4"/>
      <c r="C403" s="4"/>
      <c r="D403" s="5"/>
      <c r="G403" s="28"/>
      <c r="S403" s="8"/>
    </row>
    <row r="404" s="1" customFormat="1" spans="2:19">
      <c r="B404" s="4"/>
      <c r="C404" s="4"/>
      <c r="D404" s="5"/>
      <c r="G404" s="28"/>
      <c r="S404" s="8"/>
    </row>
    <row r="405" s="1" customFormat="1" spans="2:19">
      <c r="B405" s="4"/>
      <c r="C405" s="4"/>
      <c r="D405" s="5"/>
      <c r="G405" s="28"/>
      <c r="S405" s="8"/>
    </row>
    <row r="406" s="1" customFormat="1" spans="2:19">
      <c r="B406" s="4"/>
      <c r="C406" s="4"/>
      <c r="D406" s="5"/>
      <c r="G406" s="28"/>
      <c r="S406" s="8"/>
    </row>
    <row r="407" s="1" customFormat="1" spans="2:19">
      <c r="B407" s="4"/>
      <c r="C407" s="4"/>
      <c r="D407" s="5"/>
      <c r="G407" s="28"/>
      <c r="S407" s="8"/>
    </row>
    <row r="408" s="1" customFormat="1" spans="2:19">
      <c r="B408" s="4"/>
      <c r="C408" s="4"/>
      <c r="D408" s="5"/>
      <c r="G408" s="28"/>
      <c r="S408" s="8"/>
    </row>
    <row r="409" s="1" customFormat="1" spans="2:19">
      <c r="B409" s="4"/>
      <c r="C409" s="4"/>
      <c r="D409" s="5"/>
      <c r="G409" s="28"/>
      <c r="S409" s="8"/>
    </row>
    <row r="410" s="1" customFormat="1" spans="2:19">
      <c r="B410" s="4"/>
      <c r="C410" s="4"/>
      <c r="D410" s="5"/>
      <c r="G410" s="28"/>
      <c r="S410" s="8"/>
    </row>
    <row r="411" s="1" customFormat="1" spans="2:19">
      <c r="B411" s="4"/>
      <c r="C411" s="4"/>
      <c r="D411" s="5"/>
      <c r="G411" s="28"/>
      <c r="S411" s="8"/>
    </row>
    <row r="412" s="1" customFormat="1" spans="2:19">
      <c r="B412" s="4"/>
      <c r="C412" s="4"/>
      <c r="D412" s="5"/>
      <c r="G412" s="28"/>
      <c r="S412" s="8"/>
    </row>
    <row r="413" s="1" customFormat="1" spans="2:19">
      <c r="B413" s="4"/>
      <c r="C413" s="4"/>
      <c r="D413" s="5"/>
      <c r="G413" s="28"/>
      <c r="S413" s="8"/>
    </row>
    <row r="414" s="1" customFormat="1" spans="2:19">
      <c r="B414" s="4"/>
      <c r="C414" s="4"/>
      <c r="D414" s="5"/>
      <c r="G414" s="28"/>
      <c r="S414" s="8"/>
    </row>
    <row r="415" s="1" customFormat="1" spans="2:19">
      <c r="B415" s="4"/>
      <c r="C415" s="4"/>
      <c r="D415" s="5"/>
      <c r="G415" s="28"/>
      <c r="S415" s="8"/>
    </row>
    <row r="416" s="1" customFormat="1" spans="2:19">
      <c r="B416" s="4"/>
      <c r="C416" s="4"/>
      <c r="D416" s="5"/>
      <c r="G416" s="28"/>
      <c r="S416" s="8"/>
    </row>
    <row r="417" s="1" customFormat="1" spans="2:19">
      <c r="B417" s="4"/>
      <c r="C417" s="4"/>
      <c r="D417" s="5"/>
      <c r="G417" s="28"/>
      <c r="S417" s="8"/>
    </row>
    <row r="418" s="1" customFormat="1" spans="2:19">
      <c r="B418" s="4"/>
      <c r="C418" s="4"/>
      <c r="D418" s="5"/>
      <c r="G418" s="28"/>
      <c r="S418" s="8"/>
    </row>
    <row r="419" s="1" customFormat="1" spans="2:19">
      <c r="B419" s="4"/>
      <c r="C419" s="4"/>
      <c r="D419" s="5"/>
      <c r="G419" s="28"/>
      <c r="S419" s="8"/>
    </row>
    <row r="420" s="1" customFormat="1" spans="2:19">
      <c r="B420" s="4"/>
      <c r="C420" s="4"/>
      <c r="D420" s="5"/>
      <c r="G420" s="28"/>
      <c r="S420" s="8"/>
    </row>
    <row r="421" s="1" customFormat="1" spans="2:19">
      <c r="B421" s="4"/>
      <c r="C421" s="4"/>
      <c r="D421" s="5"/>
      <c r="G421" s="28"/>
      <c r="S421" s="8"/>
    </row>
    <row r="422" s="1" customFormat="1" spans="2:19">
      <c r="B422" s="4"/>
      <c r="C422" s="4"/>
      <c r="D422" s="5"/>
      <c r="G422" s="28"/>
      <c r="S422" s="8"/>
    </row>
    <row r="423" s="1" customFormat="1" spans="2:19">
      <c r="B423" s="4"/>
      <c r="C423" s="4"/>
      <c r="D423" s="5"/>
      <c r="G423" s="28"/>
      <c r="S423" s="8"/>
    </row>
    <row r="424" s="1" customFormat="1" spans="2:19">
      <c r="B424" s="4"/>
      <c r="C424" s="4"/>
      <c r="D424" s="5"/>
      <c r="G424" s="28"/>
      <c r="S424" s="8"/>
    </row>
    <row r="425" s="1" customFormat="1" spans="2:19">
      <c r="B425" s="4"/>
      <c r="C425" s="4"/>
      <c r="D425" s="5"/>
      <c r="G425" s="28"/>
      <c r="S425" s="8"/>
    </row>
    <row r="426" s="1" customFormat="1" spans="2:19">
      <c r="B426" s="4"/>
      <c r="C426" s="4"/>
      <c r="D426" s="5"/>
      <c r="G426" s="28"/>
      <c r="S426" s="8"/>
    </row>
    <row r="427" s="1" customFormat="1" spans="2:19">
      <c r="B427" s="4"/>
      <c r="C427" s="4"/>
      <c r="D427" s="5"/>
      <c r="G427" s="28"/>
      <c r="S427" s="8"/>
    </row>
    <row r="428" s="1" customFormat="1" spans="2:19">
      <c r="B428" s="4"/>
      <c r="C428" s="4"/>
      <c r="D428" s="5"/>
      <c r="G428" s="28"/>
      <c r="S428" s="8"/>
    </row>
    <row r="429" s="1" customFormat="1" spans="2:19">
      <c r="B429" s="4"/>
      <c r="C429" s="4"/>
      <c r="D429" s="5"/>
      <c r="G429" s="28"/>
      <c r="S429" s="8"/>
    </row>
    <row r="430" s="1" customFormat="1" spans="2:19">
      <c r="B430" s="4"/>
      <c r="C430" s="4"/>
      <c r="D430" s="5"/>
      <c r="G430" s="28"/>
      <c r="S430" s="8"/>
    </row>
    <row r="431" s="1" customFormat="1" spans="2:19">
      <c r="B431" s="4"/>
      <c r="C431" s="4"/>
      <c r="D431" s="5"/>
      <c r="G431" s="28"/>
      <c r="S431" s="8"/>
    </row>
    <row r="432" s="1" customFormat="1" spans="2:19">
      <c r="B432" s="4"/>
      <c r="C432" s="4"/>
      <c r="D432" s="5"/>
      <c r="G432" s="28"/>
      <c r="S432" s="8"/>
    </row>
    <row r="433" s="1" customFormat="1" spans="2:19">
      <c r="B433" s="4"/>
      <c r="C433" s="4"/>
      <c r="D433" s="5"/>
      <c r="G433" s="28"/>
      <c r="S433" s="8"/>
    </row>
    <row r="434" s="1" customFormat="1" spans="2:19">
      <c r="B434" s="4"/>
      <c r="C434" s="4"/>
      <c r="D434" s="5"/>
      <c r="G434" s="28"/>
      <c r="S434" s="8"/>
    </row>
    <row r="435" s="1" customFormat="1" spans="2:19">
      <c r="B435" s="4"/>
      <c r="C435" s="4"/>
      <c r="D435" s="5"/>
      <c r="G435" s="28"/>
      <c r="S435" s="8"/>
    </row>
    <row r="436" s="1" customFormat="1" spans="2:19">
      <c r="B436" s="4"/>
      <c r="C436" s="4"/>
      <c r="D436" s="5"/>
      <c r="G436" s="28"/>
      <c r="S436" s="8"/>
    </row>
    <row r="437" s="1" customFormat="1" spans="2:19">
      <c r="B437" s="4"/>
      <c r="C437" s="4"/>
      <c r="D437" s="5"/>
      <c r="G437" s="28"/>
      <c r="S437" s="8"/>
    </row>
    <row r="438" s="1" customFormat="1" spans="2:19">
      <c r="B438" s="4"/>
      <c r="C438" s="4"/>
      <c r="D438" s="5"/>
      <c r="G438" s="28"/>
      <c r="S438" s="8"/>
    </row>
    <row r="439" s="1" customFormat="1" spans="2:19">
      <c r="B439" s="4"/>
      <c r="C439" s="4"/>
      <c r="D439" s="5"/>
      <c r="G439" s="28"/>
      <c r="S439" s="8"/>
    </row>
    <row r="440" s="1" customFormat="1" spans="2:19">
      <c r="B440" s="4"/>
      <c r="C440" s="4"/>
      <c r="D440" s="5"/>
      <c r="G440" s="28"/>
      <c r="S440" s="8"/>
    </row>
    <row r="441" s="1" customFormat="1" spans="2:19">
      <c r="B441" s="4"/>
      <c r="C441" s="4"/>
      <c r="D441" s="5"/>
      <c r="G441" s="28"/>
      <c r="S441" s="8"/>
    </row>
    <row r="442" s="1" customFormat="1" spans="2:19">
      <c r="B442" s="4"/>
      <c r="C442" s="4"/>
      <c r="D442" s="5"/>
      <c r="G442" s="28"/>
      <c r="S442" s="8"/>
    </row>
    <row r="443" s="1" customFormat="1" spans="2:19">
      <c r="B443" s="4"/>
      <c r="C443" s="4"/>
      <c r="D443" s="5"/>
      <c r="G443" s="28"/>
      <c r="S443" s="8"/>
    </row>
    <row r="444" s="1" customFormat="1" spans="2:19">
      <c r="B444" s="4"/>
      <c r="C444" s="4"/>
      <c r="D444" s="5"/>
      <c r="G444" s="28"/>
      <c r="S444" s="8"/>
    </row>
    <row r="445" s="1" customFormat="1" spans="2:19">
      <c r="B445" s="4"/>
      <c r="C445" s="4"/>
      <c r="D445" s="5"/>
      <c r="G445" s="28"/>
      <c r="S445" s="8"/>
    </row>
    <row r="446" s="1" customFormat="1" spans="2:19">
      <c r="B446" s="4"/>
      <c r="C446" s="4"/>
      <c r="D446" s="5"/>
      <c r="G446" s="28"/>
      <c r="S446" s="8"/>
    </row>
    <row r="447" s="1" customFormat="1" spans="2:19">
      <c r="B447" s="4"/>
      <c r="C447" s="4"/>
      <c r="D447" s="5"/>
      <c r="G447" s="28"/>
      <c r="S447" s="8"/>
    </row>
    <row r="448" s="1" customFormat="1" spans="2:19">
      <c r="B448" s="4"/>
      <c r="C448" s="4"/>
      <c r="D448" s="5"/>
      <c r="G448" s="28"/>
      <c r="S448" s="8"/>
    </row>
    <row r="449" s="1" customFormat="1" spans="2:19">
      <c r="B449" s="4"/>
      <c r="C449" s="4"/>
      <c r="D449" s="5"/>
      <c r="G449" s="28"/>
      <c r="S449" s="8"/>
    </row>
    <row r="450" s="1" customFormat="1" spans="2:19">
      <c r="B450" s="4"/>
      <c r="C450" s="4"/>
      <c r="D450" s="5"/>
      <c r="G450" s="28"/>
      <c r="S450" s="8"/>
    </row>
    <row r="451" s="1" customFormat="1" spans="2:19">
      <c r="B451" s="4"/>
      <c r="C451" s="4"/>
      <c r="D451" s="5"/>
      <c r="G451" s="28"/>
      <c r="S451" s="8"/>
    </row>
    <row r="452" s="1" customFormat="1" spans="2:19">
      <c r="B452" s="4"/>
      <c r="C452" s="4"/>
      <c r="D452" s="5"/>
      <c r="G452" s="28"/>
      <c r="S452" s="8"/>
    </row>
    <row r="453" s="1" customFormat="1" spans="2:19">
      <c r="B453" s="4"/>
      <c r="C453" s="4"/>
      <c r="D453" s="5"/>
      <c r="G453" s="28"/>
      <c r="S453" s="8"/>
    </row>
    <row r="454" s="1" customFormat="1" spans="2:19">
      <c r="B454" s="4"/>
      <c r="C454" s="4"/>
      <c r="D454" s="5"/>
      <c r="G454" s="28"/>
      <c r="S454" s="8"/>
    </row>
    <row r="455" s="1" customFormat="1" spans="2:19">
      <c r="B455" s="4"/>
      <c r="C455" s="4"/>
      <c r="D455" s="5"/>
      <c r="G455" s="28"/>
      <c r="S455" s="8"/>
    </row>
    <row r="456" s="1" customFormat="1" spans="2:19">
      <c r="B456" s="4"/>
      <c r="C456" s="4"/>
      <c r="D456" s="5"/>
      <c r="G456" s="28"/>
      <c r="S456" s="8"/>
    </row>
    <row r="457" s="1" customFormat="1" spans="2:19">
      <c r="B457" s="4"/>
      <c r="C457" s="4"/>
      <c r="D457" s="5"/>
      <c r="G457" s="28"/>
      <c r="S457" s="8"/>
    </row>
    <row r="458" s="1" customFormat="1" spans="2:19">
      <c r="B458" s="4"/>
      <c r="C458" s="4"/>
      <c r="D458" s="5"/>
      <c r="G458" s="28"/>
      <c r="S458" s="8"/>
    </row>
    <row r="459" s="1" customFormat="1" spans="2:19">
      <c r="B459" s="4"/>
      <c r="C459" s="4"/>
      <c r="D459" s="5"/>
      <c r="G459" s="28"/>
      <c r="S459" s="8"/>
    </row>
    <row r="460" s="1" customFormat="1" spans="2:19">
      <c r="B460" s="4"/>
      <c r="C460" s="4"/>
      <c r="D460" s="5"/>
      <c r="G460" s="28"/>
      <c r="S460" s="8"/>
    </row>
    <row r="461" s="1" customFormat="1" spans="2:19">
      <c r="B461" s="4"/>
      <c r="C461" s="4"/>
      <c r="D461" s="5"/>
      <c r="G461" s="28"/>
      <c r="S461" s="8"/>
    </row>
    <row r="462" s="1" customFormat="1" spans="2:19">
      <c r="B462" s="4"/>
      <c r="C462" s="4"/>
      <c r="D462" s="5"/>
      <c r="G462" s="28"/>
      <c r="S462" s="8"/>
    </row>
    <row r="463" s="1" customFormat="1" spans="2:19">
      <c r="B463" s="4"/>
      <c r="C463" s="4"/>
      <c r="D463" s="5"/>
      <c r="G463" s="28"/>
      <c r="S463" s="8"/>
    </row>
    <row r="464" s="1" customFormat="1" spans="2:19">
      <c r="B464" s="4"/>
      <c r="C464" s="4"/>
      <c r="D464" s="5"/>
      <c r="G464" s="28"/>
      <c r="S464" s="8"/>
    </row>
    <row r="465" s="1" customFormat="1" spans="2:19">
      <c r="B465" s="4"/>
      <c r="C465" s="4"/>
      <c r="D465" s="5"/>
      <c r="G465" s="28"/>
      <c r="S465" s="8"/>
    </row>
    <row r="466" s="1" customFormat="1" spans="2:19">
      <c r="B466" s="4"/>
      <c r="C466" s="4"/>
      <c r="D466" s="5"/>
      <c r="G466" s="28"/>
      <c r="S466" s="8"/>
    </row>
    <row r="467" s="1" customFormat="1" spans="2:19">
      <c r="B467" s="4"/>
      <c r="C467" s="4"/>
      <c r="D467" s="5"/>
      <c r="G467" s="28"/>
      <c r="S467" s="8"/>
    </row>
    <row r="468" s="1" customFormat="1" spans="2:19">
      <c r="B468" s="4"/>
      <c r="C468" s="4"/>
      <c r="D468" s="5"/>
      <c r="G468" s="28"/>
      <c r="S468" s="8"/>
    </row>
    <row r="469" s="1" customFormat="1" spans="2:19">
      <c r="B469" s="4"/>
      <c r="C469" s="4"/>
      <c r="D469" s="5"/>
      <c r="G469" s="28"/>
      <c r="S469" s="8"/>
    </row>
    <row r="470" s="1" customFormat="1" spans="2:19">
      <c r="B470" s="4"/>
      <c r="C470" s="4"/>
      <c r="D470" s="5"/>
      <c r="G470" s="28"/>
      <c r="S470" s="8"/>
    </row>
    <row r="471" s="1" customFormat="1" spans="2:19">
      <c r="B471" s="4"/>
      <c r="C471" s="4"/>
      <c r="D471" s="5"/>
      <c r="G471" s="28"/>
      <c r="S471" s="8"/>
    </row>
    <row r="472" s="1" customFormat="1" spans="2:19">
      <c r="B472" s="4"/>
      <c r="C472" s="4"/>
      <c r="D472" s="5"/>
      <c r="G472" s="28"/>
      <c r="S472" s="8"/>
    </row>
    <row r="473" s="1" customFormat="1" spans="2:19">
      <c r="B473" s="4"/>
      <c r="C473" s="4"/>
      <c r="D473" s="5"/>
      <c r="G473" s="28"/>
      <c r="S473" s="8"/>
    </row>
    <row r="474" s="1" customFormat="1" spans="2:19">
      <c r="B474" s="4"/>
      <c r="C474" s="4"/>
      <c r="D474" s="5"/>
      <c r="G474" s="28"/>
      <c r="S474" s="8"/>
    </row>
    <row r="475" s="1" customFormat="1" spans="2:19">
      <c r="B475" s="4"/>
      <c r="C475" s="4"/>
      <c r="D475" s="5"/>
      <c r="G475" s="28"/>
      <c r="S475" s="8"/>
    </row>
    <row r="476" s="1" customFormat="1" spans="2:19">
      <c r="B476" s="4"/>
      <c r="C476" s="4"/>
      <c r="D476" s="5"/>
      <c r="G476" s="28"/>
      <c r="S476" s="8"/>
    </row>
    <row r="477" s="1" customFormat="1" spans="2:19">
      <c r="B477" s="4"/>
      <c r="C477" s="4"/>
      <c r="D477" s="5"/>
      <c r="G477" s="28"/>
      <c r="S477" s="8"/>
    </row>
    <row r="478" s="1" customFormat="1" spans="2:19">
      <c r="B478" s="4"/>
      <c r="C478" s="4"/>
      <c r="D478" s="5"/>
      <c r="G478" s="28"/>
      <c r="S478" s="8"/>
    </row>
    <row r="479" s="1" customFormat="1" spans="2:19">
      <c r="B479" s="4"/>
      <c r="C479" s="4"/>
      <c r="D479" s="5"/>
      <c r="G479" s="28"/>
      <c r="S479" s="8"/>
    </row>
    <row r="480" s="1" customFormat="1" spans="2:19">
      <c r="B480" s="4"/>
      <c r="C480" s="4"/>
      <c r="D480" s="5"/>
      <c r="G480" s="28"/>
      <c r="S480" s="8"/>
    </row>
    <row r="481" s="1" customFormat="1" spans="2:19">
      <c r="B481" s="4"/>
      <c r="C481" s="4"/>
      <c r="D481" s="5"/>
      <c r="G481" s="28"/>
      <c r="S481" s="8"/>
    </row>
    <row r="482" s="1" customFormat="1" spans="2:19">
      <c r="B482" s="4"/>
      <c r="C482" s="4"/>
      <c r="D482" s="5"/>
      <c r="G482" s="28"/>
      <c r="S482" s="8"/>
    </row>
    <row r="483" s="1" customFormat="1" spans="2:19">
      <c r="B483" s="4"/>
      <c r="C483" s="4"/>
      <c r="D483" s="5"/>
      <c r="G483" s="28"/>
      <c r="S483" s="8"/>
    </row>
    <row r="484" s="1" customFormat="1" spans="2:19">
      <c r="B484" s="4"/>
      <c r="C484" s="4"/>
      <c r="D484" s="5"/>
      <c r="G484" s="28"/>
      <c r="S484" s="8"/>
    </row>
    <row r="485" s="1" customFormat="1" spans="2:19">
      <c r="B485" s="4"/>
      <c r="C485" s="4"/>
      <c r="D485" s="5"/>
      <c r="G485" s="28"/>
      <c r="S485" s="8"/>
    </row>
    <row r="486" s="1" customFormat="1" spans="2:19">
      <c r="B486" s="4"/>
      <c r="C486" s="4"/>
      <c r="D486" s="5"/>
      <c r="G486" s="28"/>
      <c r="S486" s="8"/>
    </row>
    <row r="487" s="1" customFormat="1" spans="2:19">
      <c r="B487" s="4"/>
      <c r="C487" s="4"/>
      <c r="D487" s="5"/>
      <c r="G487" s="28"/>
      <c r="S487" s="8"/>
    </row>
    <row r="488" s="1" customFormat="1" spans="2:19">
      <c r="B488" s="4"/>
      <c r="C488" s="4"/>
      <c r="D488" s="5"/>
      <c r="G488" s="28"/>
      <c r="S488" s="8"/>
    </row>
    <row r="489" s="1" customFormat="1" spans="2:19">
      <c r="B489" s="4"/>
      <c r="C489" s="4"/>
      <c r="D489" s="5"/>
      <c r="G489" s="28"/>
      <c r="S489" s="8"/>
    </row>
    <row r="490" s="1" customFormat="1" spans="2:19">
      <c r="B490" s="4"/>
      <c r="C490" s="4"/>
      <c r="D490" s="5"/>
      <c r="G490" s="28"/>
      <c r="S490" s="8"/>
    </row>
    <row r="491" s="1" customFormat="1" spans="2:19">
      <c r="B491" s="4"/>
      <c r="C491" s="4"/>
      <c r="D491" s="5"/>
      <c r="G491" s="28"/>
      <c r="S491" s="8"/>
    </row>
    <row r="492" s="1" customFormat="1" spans="2:19">
      <c r="B492" s="4"/>
      <c r="C492" s="4"/>
      <c r="D492" s="5"/>
      <c r="G492" s="28"/>
      <c r="S492" s="8"/>
    </row>
    <row r="493" s="1" customFormat="1" spans="2:19">
      <c r="B493" s="4"/>
      <c r="C493" s="4"/>
      <c r="D493" s="5"/>
      <c r="G493" s="28"/>
      <c r="S493" s="8"/>
    </row>
    <row r="494" s="1" customFormat="1" spans="2:19">
      <c r="B494" s="4"/>
      <c r="C494" s="4"/>
      <c r="D494" s="5"/>
      <c r="G494" s="28"/>
      <c r="S494" s="8"/>
    </row>
    <row r="495" s="1" customFormat="1" spans="2:19">
      <c r="B495" s="4"/>
      <c r="C495" s="4"/>
      <c r="D495" s="5"/>
      <c r="G495" s="28"/>
      <c r="S495" s="8"/>
    </row>
    <row r="496" s="1" customFormat="1" spans="2:19">
      <c r="B496" s="4"/>
      <c r="C496" s="4"/>
      <c r="D496" s="5"/>
      <c r="G496" s="28"/>
      <c r="S496" s="8"/>
    </row>
    <row r="497" s="1" customFormat="1" spans="2:19">
      <c r="B497" s="4"/>
      <c r="C497" s="4"/>
      <c r="D497" s="5"/>
      <c r="G497" s="28"/>
      <c r="S497" s="8"/>
    </row>
    <row r="498" s="1" customFormat="1" spans="2:19">
      <c r="B498" s="4"/>
      <c r="C498" s="4"/>
      <c r="D498" s="5"/>
      <c r="G498" s="28"/>
      <c r="S498" s="8"/>
    </row>
    <row r="499" s="1" customFormat="1" spans="2:19">
      <c r="B499" s="4"/>
      <c r="C499" s="4"/>
      <c r="D499" s="5"/>
      <c r="G499" s="28"/>
      <c r="S499" s="8"/>
    </row>
    <row r="500" s="1" customFormat="1" spans="2:19">
      <c r="B500" s="4"/>
      <c r="C500" s="4"/>
      <c r="D500" s="5"/>
      <c r="G500" s="28"/>
      <c r="S500" s="8"/>
    </row>
    <row r="501" s="1" customFormat="1" spans="2:19">
      <c r="B501" s="4"/>
      <c r="C501" s="4"/>
      <c r="D501" s="5"/>
      <c r="G501" s="28"/>
      <c r="S501" s="8"/>
    </row>
    <row r="502" s="1" customFormat="1" spans="2:19">
      <c r="B502" s="4"/>
      <c r="C502" s="4"/>
      <c r="D502" s="5"/>
      <c r="G502" s="28"/>
      <c r="S502" s="8"/>
    </row>
    <row r="503" s="1" customFormat="1" spans="2:19">
      <c r="B503" s="4"/>
      <c r="C503" s="4"/>
      <c r="D503" s="5"/>
      <c r="G503" s="28"/>
      <c r="S503" s="8"/>
    </row>
    <row r="504" s="1" customFormat="1" spans="2:19">
      <c r="B504" s="4"/>
      <c r="C504" s="4"/>
      <c r="D504" s="5"/>
      <c r="G504" s="28"/>
      <c r="S504" s="8"/>
    </row>
    <row r="505" s="1" customFormat="1" spans="2:19">
      <c r="B505" s="4"/>
      <c r="C505" s="4"/>
      <c r="D505" s="5"/>
      <c r="G505" s="28"/>
      <c r="S505" s="8"/>
    </row>
    <row r="506" s="1" customFormat="1" spans="2:19">
      <c r="B506" s="4"/>
      <c r="C506" s="4"/>
      <c r="D506" s="5"/>
      <c r="G506" s="28"/>
      <c r="S506" s="8"/>
    </row>
    <row r="507" s="1" customFormat="1" spans="2:19">
      <c r="B507" s="4"/>
      <c r="C507" s="4"/>
      <c r="D507" s="5"/>
      <c r="G507" s="28"/>
      <c r="S507" s="8"/>
    </row>
    <row r="508" s="1" customFormat="1" spans="2:19">
      <c r="B508" s="4"/>
      <c r="C508" s="4"/>
      <c r="D508" s="5"/>
      <c r="G508" s="28"/>
      <c r="S508" s="8"/>
    </row>
    <row r="509" s="1" customFormat="1" spans="2:19">
      <c r="B509" s="4"/>
      <c r="C509" s="4"/>
      <c r="D509" s="5"/>
      <c r="G509" s="28"/>
      <c r="S509" s="8"/>
    </row>
    <row r="510" s="1" customFormat="1" spans="2:19">
      <c r="B510" s="4"/>
      <c r="C510" s="4"/>
      <c r="D510" s="5"/>
      <c r="G510" s="28"/>
      <c r="S510" s="8"/>
    </row>
    <row r="511" s="1" customFormat="1" spans="2:19">
      <c r="B511" s="4"/>
      <c r="C511" s="4"/>
      <c r="D511" s="5"/>
      <c r="G511" s="28"/>
      <c r="S511" s="8"/>
    </row>
    <row r="512" s="1" customFormat="1" spans="2:19">
      <c r="B512" s="4"/>
      <c r="C512" s="4"/>
      <c r="D512" s="5"/>
      <c r="G512" s="28"/>
      <c r="S512" s="8"/>
    </row>
    <row r="513" s="1" customFormat="1" spans="2:19">
      <c r="B513" s="4"/>
      <c r="C513" s="4"/>
      <c r="D513" s="5"/>
      <c r="G513" s="28"/>
      <c r="S513" s="8"/>
    </row>
    <row r="514" s="1" customFormat="1" spans="2:19">
      <c r="B514" s="4"/>
      <c r="C514" s="4"/>
      <c r="D514" s="5"/>
      <c r="G514" s="28"/>
      <c r="S514" s="8"/>
    </row>
    <row r="515" s="1" customFormat="1" spans="2:19">
      <c r="B515" s="4"/>
      <c r="C515" s="4"/>
      <c r="D515" s="5"/>
      <c r="G515" s="28"/>
      <c r="S515" s="8"/>
    </row>
    <row r="516" s="1" customFormat="1" spans="2:19">
      <c r="B516" s="4"/>
      <c r="C516" s="4"/>
      <c r="D516" s="5"/>
      <c r="G516" s="28"/>
      <c r="S516" s="8"/>
    </row>
    <row r="517" s="1" customFormat="1" spans="2:19">
      <c r="B517" s="4"/>
      <c r="C517" s="4"/>
      <c r="D517" s="5"/>
      <c r="G517" s="28"/>
      <c r="S517" s="8"/>
    </row>
    <row r="518" s="1" customFormat="1" spans="2:19">
      <c r="B518" s="4"/>
      <c r="C518" s="4"/>
      <c r="D518" s="5"/>
      <c r="G518" s="28"/>
      <c r="S518" s="8"/>
    </row>
    <row r="519" s="1" customFormat="1" spans="2:19">
      <c r="B519" s="4"/>
      <c r="C519" s="4"/>
      <c r="D519" s="5"/>
      <c r="G519" s="28"/>
      <c r="S519" s="8"/>
    </row>
    <row r="520" s="1" customFormat="1" spans="2:19">
      <c r="B520" s="4"/>
      <c r="C520" s="4"/>
      <c r="D520" s="5"/>
      <c r="G520" s="28"/>
      <c r="S520" s="8"/>
    </row>
    <row r="521" s="1" customFormat="1" spans="2:19">
      <c r="B521" s="4"/>
      <c r="C521" s="4"/>
      <c r="D521" s="5"/>
      <c r="G521" s="28"/>
      <c r="S521" s="8"/>
    </row>
    <row r="522" s="1" customFormat="1" spans="2:19">
      <c r="B522" s="4"/>
      <c r="C522" s="4"/>
      <c r="D522" s="5"/>
      <c r="G522" s="28"/>
      <c r="S522" s="8"/>
    </row>
    <row r="523" s="1" customFormat="1" spans="2:19">
      <c r="B523" s="4"/>
      <c r="C523" s="4"/>
      <c r="D523" s="5"/>
      <c r="G523" s="28"/>
      <c r="S523" s="8"/>
    </row>
    <row r="524" s="1" customFormat="1" spans="2:19">
      <c r="B524" s="4"/>
      <c r="C524" s="4"/>
      <c r="D524" s="5"/>
      <c r="G524" s="28"/>
      <c r="S524" s="8"/>
    </row>
    <row r="525" s="1" customFormat="1" spans="2:19">
      <c r="B525" s="4"/>
      <c r="C525" s="4"/>
      <c r="D525" s="5"/>
      <c r="G525" s="28"/>
      <c r="S525" s="8"/>
    </row>
    <row r="526" s="1" customFormat="1" spans="2:19">
      <c r="B526" s="4"/>
      <c r="C526" s="4"/>
      <c r="D526" s="5"/>
      <c r="G526" s="28"/>
      <c r="S526" s="8"/>
    </row>
    <row r="527" s="1" customFormat="1" spans="2:19">
      <c r="B527" s="4"/>
      <c r="C527" s="4"/>
      <c r="D527" s="5"/>
      <c r="G527" s="28"/>
      <c r="S527" s="8"/>
    </row>
    <row r="528" s="1" customFormat="1" spans="2:19">
      <c r="B528" s="4"/>
      <c r="C528" s="4"/>
      <c r="D528" s="5"/>
      <c r="G528" s="28"/>
      <c r="S528" s="8"/>
    </row>
    <row r="529" s="1" customFormat="1" spans="2:19">
      <c r="B529" s="4"/>
      <c r="C529" s="4"/>
      <c r="D529" s="5"/>
      <c r="G529" s="28"/>
      <c r="S529" s="8"/>
    </row>
    <row r="530" s="1" customFormat="1" spans="2:19">
      <c r="B530" s="4"/>
      <c r="C530" s="4"/>
      <c r="D530" s="5"/>
      <c r="G530" s="28"/>
      <c r="S530" s="8"/>
    </row>
    <row r="531" s="1" customFormat="1" spans="2:19">
      <c r="B531" s="4"/>
      <c r="C531" s="4"/>
      <c r="D531" s="5"/>
      <c r="G531" s="28"/>
      <c r="S531" s="8"/>
    </row>
    <row r="532" s="1" customFormat="1" spans="2:19">
      <c r="B532" s="4"/>
      <c r="C532" s="4"/>
      <c r="D532" s="5"/>
      <c r="G532" s="28"/>
      <c r="S532" s="8"/>
    </row>
    <row r="533" s="1" customFormat="1" spans="2:19">
      <c r="B533" s="4"/>
      <c r="C533" s="4"/>
      <c r="D533" s="5"/>
      <c r="G533" s="28"/>
      <c r="S533" s="8"/>
    </row>
    <row r="534" s="1" customFormat="1" spans="2:19">
      <c r="B534" s="4"/>
      <c r="C534" s="4"/>
      <c r="D534" s="5"/>
      <c r="G534" s="28"/>
      <c r="S534" s="8"/>
    </row>
    <row r="535" s="1" customFormat="1" spans="2:19">
      <c r="B535" s="4"/>
      <c r="C535" s="4"/>
      <c r="D535" s="5"/>
      <c r="G535" s="28"/>
      <c r="S535" s="8"/>
    </row>
    <row r="536" s="1" customFormat="1" spans="2:19">
      <c r="B536" s="4"/>
      <c r="C536" s="4"/>
      <c r="D536" s="5"/>
      <c r="G536" s="28"/>
      <c r="S536" s="8"/>
    </row>
    <row r="537" s="1" customFormat="1" spans="2:19">
      <c r="B537" s="4"/>
      <c r="C537" s="4"/>
      <c r="D537" s="5"/>
      <c r="G537" s="28"/>
      <c r="S537" s="8"/>
    </row>
    <row r="538" s="1" customFormat="1" spans="2:19">
      <c r="B538" s="4"/>
      <c r="C538" s="4"/>
      <c r="D538" s="5"/>
      <c r="G538" s="28"/>
      <c r="S538" s="8"/>
    </row>
    <row r="539" s="1" customFormat="1" spans="2:19">
      <c r="B539" s="4"/>
      <c r="C539" s="4"/>
      <c r="D539" s="5"/>
      <c r="G539" s="28"/>
      <c r="S539" s="8"/>
    </row>
    <row r="540" s="1" customFormat="1" spans="2:19">
      <c r="B540" s="4"/>
      <c r="C540" s="4"/>
      <c r="D540" s="5"/>
      <c r="G540" s="28"/>
      <c r="S540" s="8"/>
    </row>
    <row r="541" s="1" customFormat="1" spans="2:19">
      <c r="B541" s="4"/>
      <c r="C541" s="4"/>
      <c r="D541" s="5"/>
      <c r="G541" s="28"/>
      <c r="S541" s="8"/>
    </row>
    <row r="542" s="1" customFormat="1" spans="2:19">
      <c r="B542" s="4"/>
      <c r="C542" s="4"/>
      <c r="D542" s="5"/>
      <c r="G542" s="28"/>
      <c r="S542" s="8"/>
    </row>
    <row r="543" s="1" customFormat="1" spans="2:19">
      <c r="B543" s="4"/>
      <c r="C543" s="4"/>
      <c r="D543" s="5"/>
      <c r="G543" s="28"/>
      <c r="S543" s="8"/>
    </row>
    <row r="544" s="1" customFormat="1" spans="2:19">
      <c r="B544" s="4"/>
      <c r="C544" s="4"/>
      <c r="D544" s="5"/>
      <c r="G544" s="28"/>
      <c r="S544" s="8"/>
    </row>
    <row r="545" s="1" customFormat="1" spans="2:19">
      <c r="B545" s="4"/>
      <c r="C545" s="4"/>
      <c r="D545" s="5"/>
      <c r="G545" s="28"/>
      <c r="S545" s="8"/>
    </row>
    <row r="546" s="1" customFormat="1" spans="2:19">
      <c r="B546" s="4"/>
      <c r="C546" s="4"/>
      <c r="D546" s="5"/>
      <c r="G546" s="28"/>
      <c r="S546" s="8"/>
    </row>
    <row r="547" s="1" customFormat="1" spans="2:19">
      <c r="B547" s="4"/>
      <c r="C547" s="4"/>
      <c r="D547" s="5"/>
      <c r="G547" s="28"/>
      <c r="S547" s="8"/>
    </row>
    <row r="548" s="1" customFormat="1" spans="2:19">
      <c r="B548" s="4"/>
      <c r="C548" s="4"/>
      <c r="D548" s="5"/>
      <c r="G548" s="28"/>
      <c r="S548" s="8"/>
    </row>
    <row r="549" s="1" customFormat="1" spans="2:19">
      <c r="B549" s="4"/>
      <c r="C549" s="4"/>
      <c r="D549" s="5"/>
      <c r="G549" s="28"/>
      <c r="S549" s="8"/>
    </row>
    <row r="550" s="1" customFormat="1" spans="2:19">
      <c r="B550" s="4"/>
      <c r="C550" s="4"/>
      <c r="D550" s="5"/>
      <c r="G550" s="28"/>
      <c r="S550" s="8"/>
    </row>
    <row r="551" s="1" customFormat="1" spans="2:19">
      <c r="B551" s="4"/>
      <c r="C551" s="4"/>
      <c r="D551" s="5"/>
      <c r="G551" s="28"/>
      <c r="S551" s="8"/>
    </row>
    <row r="552" s="1" customFormat="1" spans="2:19">
      <c r="B552" s="4"/>
      <c r="C552" s="4"/>
      <c r="D552" s="5"/>
      <c r="G552" s="28"/>
      <c r="S552" s="8"/>
    </row>
    <row r="553" s="1" customFormat="1" spans="2:19">
      <c r="B553" s="4"/>
      <c r="C553" s="4"/>
      <c r="D553" s="5"/>
      <c r="G553" s="28"/>
      <c r="S553" s="8"/>
    </row>
    <row r="554" s="1" customFormat="1" spans="2:19">
      <c r="B554" s="4"/>
      <c r="C554" s="4"/>
      <c r="D554" s="5"/>
      <c r="G554" s="28"/>
      <c r="S554" s="8"/>
    </row>
    <row r="555" s="1" customFormat="1" spans="2:19">
      <c r="B555" s="4"/>
      <c r="C555" s="4"/>
      <c r="D555" s="5"/>
      <c r="G555" s="28"/>
      <c r="S555" s="8"/>
    </row>
    <row r="556" s="1" customFormat="1" spans="2:19">
      <c r="B556" s="4"/>
      <c r="C556" s="4"/>
      <c r="D556" s="5"/>
      <c r="G556" s="28"/>
      <c r="S556" s="8"/>
    </row>
    <row r="557" s="1" customFormat="1" spans="2:19">
      <c r="B557" s="4"/>
      <c r="C557" s="4"/>
      <c r="D557" s="5"/>
      <c r="G557" s="28"/>
      <c r="S557" s="8"/>
    </row>
    <row r="558" s="1" customFormat="1" spans="2:19">
      <c r="B558" s="4"/>
      <c r="C558" s="4"/>
      <c r="D558" s="5"/>
      <c r="G558" s="28"/>
      <c r="S558" s="8"/>
    </row>
    <row r="559" s="1" customFormat="1" spans="2:19">
      <c r="B559" s="4"/>
      <c r="C559" s="4"/>
      <c r="D559" s="5"/>
      <c r="G559" s="28"/>
      <c r="S559" s="8"/>
    </row>
    <row r="560" s="1" customFormat="1" spans="2:19">
      <c r="B560" s="4"/>
      <c r="C560" s="4"/>
      <c r="D560" s="5"/>
      <c r="G560" s="28"/>
      <c r="S560" s="8"/>
    </row>
    <row r="561" s="1" customFormat="1" spans="2:19">
      <c r="B561" s="4"/>
      <c r="C561" s="4"/>
      <c r="D561" s="5"/>
      <c r="G561" s="28"/>
      <c r="S561" s="8"/>
    </row>
    <row r="562" s="1" customFormat="1" spans="2:19">
      <c r="B562" s="4"/>
      <c r="C562" s="4"/>
      <c r="D562" s="5"/>
      <c r="G562" s="28"/>
      <c r="S562" s="8"/>
    </row>
    <row r="563" s="1" customFormat="1" spans="2:19">
      <c r="B563" s="4"/>
      <c r="C563" s="4"/>
      <c r="D563" s="5"/>
      <c r="G563" s="28"/>
      <c r="S563" s="8"/>
    </row>
    <row r="564" s="1" customFormat="1" spans="2:19">
      <c r="B564" s="4"/>
      <c r="C564" s="4"/>
      <c r="D564" s="5"/>
      <c r="G564" s="28"/>
      <c r="S564" s="8"/>
    </row>
    <row r="565" s="1" customFormat="1" spans="2:19">
      <c r="B565" s="4"/>
      <c r="C565" s="4"/>
      <c r="D565" s="5"/>
      <c r="G565" s="28"/>
      <c r="S565" s="8"/>
    </row>
    <row r="566" s="1" customFormat="1" spans="2:19">
      <c r="B566" s="4"/>
      <c r="C566" s="4"/>
      <c r="D566" s="5"/>
      <c r="G566" s="28"/>
      <c r="S566" s="8"/>
    </row>
    <row r="567" s="1" customFormat="1" spans="2:19">
      <c r="B567" s="4"/>
      <c r="C567" s="4"/>
      <c r="D567" s="5"/>
      <c r="G567" s="28"/>
      <c r="S567" s="8"/>
    </row>
    <row r="568" s="1" customFormat="1" spans="2:19">
      <c r="B568" s="4"/>
      <c r="C568" s="4"/>
      <c r="D568" s="5"/>
      <c r="G568" s="28"/>
      <c r="S568" s="8"/>
    </row>
    <row r="569" s="1" customFormat="1" spans="2:19">
      <c r="B569" s="4"/>
      <c r="C569" s="4"/>
      <c r="D569" s="5"/>
      <c r="G569" s="28"/>
      <c r="S569" s="8"/>
    </row>
    <row r="570" s="1" customFormat="1" spans="2:19">
      <c r="B570" s="4"/>
      <c r="C570" s="4"/>
      <c r="D570" s="5"/>
      <c r="G570" s="28"/>
      <c r="S570" s="8"/>
    </row>
    <row r="571" s="1" customFormat="1" spans="2:19">
      <c r="B571" s="4"/>
      <c r="C571" s="4"/>
      <c r="D571" s="5"/>
      <c r="G571" s="28"/>
      <c r="S571" s="8"/>
    </row>
    <row r="572" s="1" customFormat="1" spans="2:19">
      <c r="B572" s="4"/>
      <c r="C572" s="4"/>
      <c r="D572" s="5"/>
      <c r="G572" s="28"/>
      <c r="S572" s="8"/>
    </row>
    <row r="573" s="1" customFormat="1" spans="2:19">
      <c r="B573" s="4"/>
      <c r="C573" s="4"/>
      <c r="D573" s="5"/>
      <c r="G573" s="28"/>
      <c r="S573" s="8"/>
    </row>
    <row r="574" s="1" customFormat="1" spans="2:19">
      <c r="B574" s="4"/>
      <c r="C574" s="4"/>
      <c r="D574" s="5"/>
      <c r="G574" s="28"/>
      <c r="S574" s="8"/>
    </row>
    <row r="575" s="1" customFormat="1" spans="2:19">
      <c r="B575" s="4"/>
      <c r="C575" s="4"/>
      <c r="D575" s="5"/>
      <c r="G575" s="28"/>
      <c r="S575" s="8"/>
    </row>
    <row r="576" s="1" customFormat="1" spans="2:19">
      <c r="B576" s="4"/>
      <c r="C576" s="4"/>
      <c r="D576" s="5"/>
      <c r="G576" s="28"/>
      <c r="S576" s="8"/>
    </row>
    <row r="577" s="1" customFormat="1" spans="2:19">
      <c r="B577" s="4"/>
      <c r="C577" s="4"/>
      <c r="D577" s="5"/>
      <c r="G577" s="28"/>
      <c r="S577" s="8"/>
    </row>
    <row r="578" s="1" customFormat="1" spans="2:19">
      <c r="B578" s="4"/>
      <c r="C578" s="4"/>
      <c r="D578" s="5"/>
      <c r="G578" s="28"/>
      <c r="S578" s="8"/>
    </row>
    <row r="579" s="1" customFormat="1" spans="2:19">
      <c r="B579" s="4"/>
      <c r="C579" s="4"/>
      <c r="D579" s="5"/>
      <c r="G579" s="28"/>
      <c r="S579" s="8"/>
    </row>
    <row r="580" s="1" customFormat="1" spans="2:19">
      <c r="B580" s="4"/>
      <c r="C580" s="4"/>
      <c r="D580" s="5"/>
      <c r="G580" s="28"/>
      <c r="S580" s="8"/>
    </row>
    <row r="581" s="1" customFormat="1" spans="2:19">
      <c r="B581" s="4"/>
      <c r="C581" s="4"/>
      <c r="D581" s="5"/>
      <c r="G581" s="28"/>
      <c r="S581" s="8"/>
    </row>
    <row r="582" s="1" customFormat="1" spans="2:19">
      <c r="B582" s="4"/>
      <c r="C582" s="4"/>
      <c r="D582" s="5"/>
      <c r="G582" s="28"/>
      <c r="S582" s="8"/>
    </row>
    <row r="583" s="1" customFormat="1" spans="2:19">
      <c r="B583" s="4"/>
      <c r="C583" s="4"/>
      <c r="D583" s="5"/>
      <c r="G583" s="28"/>
      <c r="S583" s="8"/>
    </row>
    <row r="584" s="1" customFormat="1" spans="2:19">
      <c r="B584" s="4"/>
      <c r="C584" s="4"/>
      <c r="D584" s="5"/>
      <c r="G584" s="28"/>
      <c r="S584" s="8"/>
    </row>
    <row r="585" s="1" customFormat="1" spans="2:19">
      <c r="B585" s="4"/>
      <c r="C585" s="4"/>
      <c r="D585" s="5"/>
      <c r="G585" s="28"/>
      <c r="S585" s="8"/>
    </row>
    <row r="586" s="1" customFormat="1" spans="2:19">
      <c r="B586" s="4"/>
      <c r="C586" s="4"/>
      <c r="D586" s="5"/>
      <c r="G586" s="28"/>
      <c r="S586" s="8"/>
    </row>
    <row r="587" s="1" customFormat="1" spans="2:19">
      <c r="B587" s="4"/>
      <c r="C587" s="4"/>
      <c r="D587" s="5"/>
      <c r="G587" s="28"/>
      <c r="S587" s="8"/>
    </row>
    <row r="588" s="1" customFormat="1" spans="2:19">
      <c r="B588" s="4"/>
      <c r="C588" s="4"/>
      <c r="D588" s="5"/>
      <c r="G588" s="28"/>
      <c r="S588" s="8"/>
    </row>
    <row r="589" s="1" customFormat="1" spans="2:19">
      <c r="B589" s="4"/>
      <c r="C589" s="4"/>
      <c r="D589" s="5"/>
      <c r="G589" s="28"/>
      <c r="S589" s="8"/>
    </row>
    <row r="590" s="1" customFormat="1" spans="2:19">
      <c r="B590" s="4"/>
      <c r="C590" s="4"/>
      <c r="D590" s="5"/>
      <c r="G590" s="28"/>
      <c r="S590" s="8"/>
    </row>
    <row r="591" s="1" customFormat="1" spans="2:19">
      <c r="B591" s="4"/>
      <c r="C591" s="4"/>
      <c r="D591" s="5"/>
      <c r="G591" s="28"/>
      <c r="S591" s="8"/>
    </row>
    <row r="592" s="1" customFormat="1" spans="2:19">
      <c r="B592" s="4"/>
      <c r="C592" s="4"/>
      <c r="D592" s="5"/>
      <c r="G592" s="28"/>
      <c r="S592" s="8"/>
    </row>
    <row r="593" s="1" customFormat="1" spans="2:19">
      <c r="B593" s="4"/>
      <c r="C593" s="4"/>
      <c r="D593" s="5"/>
      <c r="G593" s="28"/>
      <c r="S593" s="8"/>
    </row>
    <row r="594" s="1" customFormat="1" spans="2:19">
      <c r="B594" s="4"/>
      <c r="C594" s="4"/>
      <c r="D594" s="5"/>
      <c r="G594" s="28"/>
      <c r="S594" s="8"/>
    </row>
    <row r="595" s="1" customFormat="1" spans="2:19">
      <c r="B595" s="4"/>
      <c r="C595" s="4"/>
      <c r="D595" s="5"/>
      <c r="G595" s="28"/>
      <c r="S595" s="8"/>
    </row>
    <row r="596" s="1" customFormat="1" spans="2:19">
      <c r="B596" s="4"/>
      <c r="C596" s="4"/>
      <c r="D596" s="5"/>
      <c r="G596" s="28"/>
      <c r="S596" s="8"/>
    </row>
    <row r="597" s="1" customFormat="1" spans="2:19">
      <c r="B597" s="4"/>
      <c r="C597" s="4"/>
      <c r="D597" s="5"/>
      <c r="G597" s="28"/>
      <c r="S597" s="8"/>
    </row>
    <row r="598" s="1" customFormat="1" spans="2:19">
      <c r="B598" s="4"/>
      <c r="C598" s="4"/>
      <c r="D598" s="5"/>
      <c r="G598" s="28"/>
      <c r="S598" s="8"/>
    </row>
    <row r="599" s="1" customFormat="1" spans="2:19">
      <c r="B599" s="4"/>
      <c r="C599" s="4"/>
      <c r="D599" s="5"/>
      <c r="G599" s="28"/>
      <c r="S599" s="8"/>
    </row>
    <row r="600" s="1" customFormat="1" spans="2:19">
      <c r="B600" s="4"/>
      <c r="C600" s="4"/>
      <c r="D600" s="5"/>
      <c r="G600" s="28"/>
      <c r="S600" s="8"/>
    </row>
    <row r="601" s="1" customFormat="1" spans="2:19">
      <c r="B601" s="4"/>
      <c r="C601" s="4"/>
      <c r="D601" s="5"/>
      <c r="G601" s="28"/>
      <c r="S601" s="8"/>
    </row>
    <row r="602" s="1" customFormat="1" spans="2:19">
      <c r="B602" s="4"/>
      <c r="C602" s="4"/>
      <c r="D602" s="5"/>
      <c r="G602" s="28"/>
      <c r="S602" s="8"/>
    </row>
    <row r="603" s="1" customFormat="1" spans="2:19">
      <c r="B603" s="4"/>
      <c r="C603" s="4"/>
      <c r="D603" s="5"/>
      <c r="G603" s="28"/>
      <c r="S603" s="8"/>
    </row>
    <row r="604" s="1" customFormat="1" spans="2:19">
      <c r="B604" s="4"/>
      <c r="C604" s="4"/>
      <c r="D604" s="5"/>
      <c r="G604" s="28"/>
      <c r="S604" s="8"/>
    </row>
    <row r="605" s="1" customFormat="1" spans="2:19">
      <c r="B605" s="4"/>
      <c r="C605" s="4"/>
      <c r="D605" s="5"/>
      <c r="G605" s="28"/>
      <c r="S605" s="8"/>
    </row>
    <row r="606" s="1" customFormat="1" spans="2:19">
      <c r="B606" s="4"/>
      <c r="C606" s="4"/>
      <c r="D606" s="5"/>
      <c r="G606" s="28"/>
      <c r="S606" s="8"/>
    </row>
    <row r="607" s="1" customFormat="1" spans="2:19">
      <c r="B607" s="4"/>
      <c r="C607" s="4"/>
      <c r="D607" s="5"/>
      <c r="G607" s="28"/>
      <c r="S607" s="8"/>
    </row>
    <row r="608" s="1" customFormat="1" spans="2:19">
      <c r="B608" s="4"/>
      <c r="C608" s="4"/>
      <c r="D608" s="5"/>
      <c r="G608" s="28"/>
      <c r="S608" s="8"/>
    </row>
    <row r="609" s="1" customFormat="1" spans="2:19">
      <c r="B609" s="4"/>
      <c r="C609" s="4"/>
      <c r="D609" s="5"/>
      <c r="G609" s="28"/>
      <c r="S609" s="8"/>
    </row>
    <row r="610" s="1" customFormat="1" spans="2:19">
      <c r="B610" s="4"/>
      <c r="C610" s="4"/>
      <c r="D610" s="5"/>
      <c r="G610" s="28"/>
      <c r="S610" s="8"/>
    </row>
    <row r="611" s="1" customFormat="1" spans="2:19">
      <c r="B611" s="4"/>
      <c r="C611" s="4"/>
      <c r="D611" s="5"/>
      <c r="G611" s="28"/>
      <c r="S611" s="8"/>
    </row>
    <row r="612" s="1" customFormat="1" spans="2:19">
      <c r="B612" s="4"/>
      <c r="C612" s="4"/>
      <c r="D612" s="5"/>
      <c r="G612" s="28"/>
      <c r="S612" s="8"/>
    </row>
    <row r="613" s="1" customFormat="1" spans="2:19">
      <c r="B613" s="4"/>
      <c r="C613" s="4"/>
      <c r="D613" s="5"/>
      <c r="G613" s="28"/>
      <c r="S613" s="8"/>
    </row>
    <row r="614" s="1" customFormat="1" spans="2:19">
      <c r="B614" s="4"/>
      <c r="C614" s="4"/>
      <c r="D614" s="5"/>
      <c r="G614" s="28"/>
      <c r="S614" s="8"/>
    </row>
    <row r="615" s="1" customFormat="1" spans="2:19">
      <c r="B615" s="4"/>
      <c r="C615" s="4"/>
      <c r="D615" s="5"/>
      <c r="G615" s="28"/>
      <c r="S615" s="8"/>
    </row>
    <row r="616" s="1" customFormat="1" spans="2:19">
      <c r="B616" s="4"/>
      <c r="C616" s="4"/>
      <c r="D616" s="5"/>
      <c r="G616" s="28"/>
      <c r="S616" s="8"/>
    </row>
    <row r="617" s="1" customFormat="1" spans="2:19">
      <c r="B617" s="4"/>
      <c r="C617" s="4"/>
      <c r="D617" s="5"/>
      <c r="G617" s="28"/>
      <c r="S617" s="8"/>
    </row>
    <row r="618" s="1" customFormat="1" spans="2:19">
      <c r="B618" s="4"/>
      <c r="C618" s="4"/>
      <c r="D618" s="5"/>
      <c r="G618" s="28"/>
      <c r="S618" s="8"/>
    </row>
    <row r="619" s="1" customFormat="1" spans="2:19">
      <c r="B619" s="4"/>
      <c r="C619" s="4"/>
      <c r="D619" s="5"/>
      <c r="G619" s="28"/>
      <c r="S619" s="8"/>
    </row>
    <row r="620" s="1" customFormat="1" spans="2:19">
      <c r="B620" s="4"/>
      <c r="C620" s="4"/>
      <c r="D620" s="5"/>
      <c r="G620" s="28"/>
      <c r="S620" s="8"/>
    </row>
    <row r="621" s="1" customFormat="1" spans="2:19">
      <c r="B621" s="4"/>
      <c r="C621" s="4"/>
      <c r="D621" s="5"/>
      <c r="G621" s="28"/>
      <c r="S621" s="8"/>
    </row>
    <row r="622" s="1" customFormat="1" spans="2:19">
      <c r="B622" s="4"/>
      <c r="C622" s="4"/>
      <c r="D622" s="5"/>
      <c r="G622" s="28"/>
      <c r="S622" s="8"/>
    </row>
    <row r="623" s="1" customFormat="1" spans="2:19">
      <c r="B623" s="4"/>
      <c r="C623" s="4"/>
      <c r="D623" s="5"/>
      <c r="G623" s="28"/>
      <c r="S623" s="8"/>
    </row>
    <row r="624" s="1" customFormat="1" spans="2:19">
      <c r="B624" s="4"/>
      <c r="C624" s="4"/>
      <c r="D624" s="5"/>
      <c r="G624" s="28"/>
      <c r="S624" s="8"/>
    </row>
    <row r="625" s="1" customFormat="1" spans="2:19">
      <c r="B625" s="4"/>
      <c r="C625" s="4"/>
      <c r="D625" s="5"/>
      <c r="G625" s="28"/>
      <c r="S625" s="8"/>
    </row>
    <row r="626" s="1" customFormat="1" spans="2:19">
      <c r="B626" s="4"/>
      <c r="C626" s="4"/>
      <c r="D626" s="5"/>
      <c r="G626" s="28"/>
      <c r="S626" s="8"/>
    </row>
    <row r="627" s="1" customFormat="1" spans="2:19">
      <c r="B627" s="4"/>
      <c r="C627" s="4"/>
      <c r="D627" s="5"/>
      <c r="G627" s="28"/>
      <c r="S627" s="8"/>
    </row>
    <row r="628" s="1" customFormat="1" spans="2:19">
      <c r="B628" s="4"/>
      <c r="C628" s="4"/>
      <c r="D628" s="5"/>
      <c r="G628" s="28"/>
      <c r="S628" s="8"/>
    </row>
    <row r="629" s="1" customFormat="1" spans="2:19">
      <c r="B629" s="4"/>
      <c r="C629" s="4"/>
      <c r="D629" s="5"/>
      <c r="G629" s="28"/>
      <c r="S629" s="8"/>
    </row>
    <row r="630" s="1" customFormat="1" spans="2:19">
      <c r="B630" s="4"/>
      <c r="C630" s="4"/>
      <c r="D630" s="5"/>
      <c r="G630" s="28"/>
      <c r="S630" s="8"/>
    </row>
    <row r="631" s="1" customFormat="1" spans="2:19">
      <c r="B631" s="4"/>
      <c r="C631" s="4"/>
      <c r="D631" s="5"/>
      <c r="G631" s="28"/>
      <c r="S631" s="8"/>
    </row>
    <row r="632" s="1" customFormat="1" spans="2:19">
      <c r="B632" s="4"/>
      <c r="C632" s="4"/>
      <c r="D632" s="5"/>
      <c r="G632" s="28"/>
      <c r="S632" s="8"/>
    </row>
    <row r="633" s="1" customFormat="1" spans="2:19">
      <c r="B633" s="4"/>
      <c r="C633" s="4"/>
      <c r="D633" s="5"/>
      <c r="G633" s="28"/>
      <c r="S633" s="8"/>
    </row>
    <row r="634" s="1" customFormat="1" spans="2:19">
      <c r="B634" s="4"/>
      <c r="C634" s="4"/>
      <c r="D634" s="5"/>
      <c r="G634" s="28"/>
      <c r="S634" s="8"/>
    </row>
    <row r="635" s="1" customFormat="1" spans="2:19">
      <c r="B635" s="4"/>
      <c r="C635" s="4"/>
      <c r="D635" s="5"/>
      <c r="G635" s="28"/>
      <c r="S635" s="8"/>
    </row>
    <row r="636" s="1" customFormat="1" spans="2:19">
      <c r="B636" s="4"/>
      <c r="C636" s="4"/>
      <c r="D636" s="5"/>
      <c r="G636" s="28"/>
      <c r="S636" s="8"/>
    </row>
    <row r="637" s="1" customFormat="1" spans="2:19">
      <c r="B637" s="4"/>
      <c r="C637" s="4"/>
      <c r="D637" s="5"/>
      <c r="G637" s="28"/>
      <c r="S637" s="8"/>
    </row>
    <row r="638" s="1" customFormat="1" spans="2:19">
      <c r="B638" s="4"/>
      <c r="C638" s="4"/>
      <c r="D638" s="5"/>
      <c r="G638" s="28"/>
      <c r="S638" s="8"/>
    </row>
    <row r="639" s="1" customFormat="1" spans="2:19">
      <c r="B639" s="4"/>
      <c r="C639" s="4"/>
      <c r="D639" s="5"/>
      <c r="G639" s="28"/>
      <c r="S639" s="8"/>
    </row>
    <row r="640" s="1" customFormat="1" spans="2:19">
      <c r="B640" s="4"/>
      <c r="C640" s="4"/>
      <c r="D640" s="5"/>
      <c r="G640" s="28"/>
      <c r="S640" s="8"/>
    </row>
    <row r="641" s="1" customFormat="1" spans="2:19">
      <c r="B641" s="4"/>
      <c r="C641" s="4"/>
      <c r="D641" s="5"/>
      <c r="G641" s="28"/>
      <c r="S641" s="8"/>
    </row>
    <row r="642" s="1" customFormat="1" spans="2:19">
      <c r="B642" s="4"/>
      <c r="C642" s="4"/>
      <c r="D642" s="5"/>
      <c r="G642" s="28"/>
      <c r="S642" s="8"/>
    </row>
    <row r="643" s="1" customFormat="1" spans="2:19">
      <c r="B643" s="4"/>
      <c r="C643" s="4"/>
      <c r="D643" s="5"/>
      <c r="G643" s="28"/>
      <c r="S643" s="8"/>
    </row>
    <row r="644" s="1" customFormat="1" spans="2:19">
      <c r="B644" s="4"/>
      <c r="C644" s="4"/>
      <c r="D644" s="5"/>
      <c r="G644" s="28"/>
      <c r="S644" s="8"/>
    </row>
    <row r="645" s="1" customFormat="1" spans="2:19">
      <c r="B645" s="4"/>
      <c r="C645" s="4"/>
      <c r="D645" s="5"/>
      <c r="G645" s="28"/>
      <c r="S645" s="8"/>
    </row>
    <row r="646" s="1" customFormat="1" spans="2:19">
      <c r="B646" s="4"/>
      <c r="C646" s="4"/>
      <c r="D646" s="5"/>
      <c r="G646" s="28"/>
      <c r="S646" s="8"/>
    </row>
    <row r="647" s="1" customFormat="1" spans="2:19">
      <c r="B647" s="4"/>
      <c r="C647" s="4"/>
      <c r="D647" s="5"/>
      <c r="G647" s="28"/>
      <c r="S647" s="8"/>
    </row>
    <row r="648" s="1" customFormat="1" spans="2:19">
      <c r="B648" s="4"/>
      <c r="C648" s="4"/>
      <c r="D648" s="5"/>
      <c r="G648" s="28"/>
      <c r="S648" s="8"/>
    </row>
    <row r="649" s="1" customFormat="1" spans="2:19">
      <c r="B649" s="4"/>
      <c r="C649" s="4"/>
      <c r="D649" s="5"/>
      <c r="G649" s="28"/>
      <c r="S649" s="8"/>
    </row>
    <row r="650" s="1" customFormat="1" spans="2:19">
      <c r="B650" s="4"/>
      <c r="C650" s="4"/>
      <c r="D650" s="5"/>
      <c r="G650" s="28"/>
      <c r="S650" s="8"/>
    </row>
    <row r="651" s="1" customFormat="1" spans="2:19">
      <c r="B651" s="4"/>
      <c r="C651" s="4"/>
      <c r="D651" s="5"/>
      <c r="G651" s="28"/>
      <c r="S651" s="8"/>
    </row>
    <row r="652" s="1" customFormat="1" spans="2:19">
      <c r="B652" s="4"/>
      <c r="C652" s="4"/>
      <c r="D652" s="5"/>
      <c r="G652" s="28"/>
      <c r="S652" s="8"/>
    </row>
    <row r="653" s="1" customFormat="1" spans="2:19">
      <c r="B653" s="4"/>
      <c r="C653" s="4"/>
      <c r="D653" s="5"/>
      <c r="G653" s="28"/>
      <c r="S653" s="8"/>
    </row>
    <row r="654" s="1" customFormat="1" spans="2:19">
      <c r="B654" s="4"/>
      <c r="C654" s="4"/>
      <c r="D654" s="5"/>
      <c r="G654" s="28"/>
      <c r="S654" s="8"/>
    </row>
    <row r="655" s="1" customFormat="1" spans="2:19">
      <c r="B655" s="4"/>
      <c r="C655" s="4"/>
      <c r="D655" s="5"/>
      <c r="G655" s="28"/>
      <c r="S655" s="8"/>
    </row>
    <row r="656" s="1" customFormat="1" spans="2:19">
      <c r="B656" s="4"/>
      <c r="C656" s="4"/>
      <c r="D656" s="5"/>
      <c r="G656" s="28"/>
      <c r="S656" s="8"/>
    </row>
    <row r="657" s="1" customFormat="1" spans="2:19">
      <c r="B657" s="4"/>
      <c r="C657" s="4"/>
      <c r="D657" s="5"/>
      <c r="G657" s="28"/>
      <c r="S657" s="8"/>
    </row>
    <row r="658" s="1" customFormat="1" spans="2:19">
      <c r="B658" s="4"/>
      <c r="C658" s="4"/>
      <c r="D658" s="5"/>
      <c r="G658" s="28"/>
      <c r="S658" s="8"/>
    </row>
    <row r="659" s="1" customFormat="1" spans="2:19">
      <c r="B659" s="4"/>
      <c r="C659" s="4"/>
      <c r="D659" s="5"/>
      <c r="G659" s="28"/>
      <c r="S659" s="8"/>
    </row>
    <row r="660" s="1" customFormat="1" spans="2:19">
      <c r="B660" s="4"/>
      <c r="C660" s="4"/>
      <c r="D660" s="5"/>
      <c r="G660" s="28"/>
      <c r="S660" s="8"/>
    </row>
    <row r="661" s="1" customFormat="1" spans="2:19">
      <c r="B661" s="4"/>
      <c r="C661" s="4"/>
      <c r="D661" s="5"/>
      <c r="G661" s="28"/>
      <c r="S661" s="8"/>
    </row>
    <row r="662" s="1" customFormat="1" spans="2:19">
      <c r="B662" s="4"/>
      <c r="C662" s="4"/>
      <c r="D662" s="5"/>
      <c r="G662" s="28"/>
      <c r="S662" s="8"/>
    </row>
    <row r="663" s="1" customFormat="1" spans="2:19">
      <c r="B663" s="4"/>
      <c r="C663" s="4"/>
      <c r="D663" s="5"/>
      <c r="G663" s="28"/>
      <c r="S663" s="8"/>
    </row>
    <row r="664" s="1" customFormat="1" spans="2:19">
      <c r="B664" s="4"/>
      <c r="C664" s="4"/>
      <c r="D664" s="5"/>
      <c r="G664" s="28"/>
      <c r="S664" s="8"/>
    </row>
    <row r="665" s="1" customFormat="1" spans="2:19">
      <c r="B665" s="4"/>
      <c r="C665" s="4"/>
      <c r="D665" s="5"/>
      <c r="G665" s="28"/>
      <c r="S665" s="8"/>
    </row>
  </sheetData>
  <mergeCells count="14">
    <mergeCell ref="A1:AI1"/>
    <mergeCell ref="H2:AI2"/>
    <mergeCell ref="H3:N3"/>
    <mergeCell ref="O3:T3"/>
    <mergeCell ref="U3:X3"/>
    <mergeCell ref="Y3:AD3"/>
    <mergeCell ref="AE3:AI3"/>
    <mergeCell ref="A2:A4"/>
    <mergeCell ref="B2:B4"/>
    <mergeCell ref="C2:C4"/>
    <mergeCell ref="D2:D4"/>
    <mergeCell ref="E2:E4"/>
    <mergeCell ref="F2:F4"/>
    <mergeCell ref="G2:G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6.28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v228</dc:creator>
  <cp:lastModifiedBy>Heyboo</cp:lastModifiedBy>
  <dcterms:created xsi:type="dcterms:W3CDTF">2025-09-29T02:41:00Z</dcterms:created>
  <dcterms:modified xsi:type="dcterms:W3CDTF">2025-09-29T03:18:31Z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3BB056B4E65E4066B2F76ADCC717B443_11</vt:lpwstr>
  </property>
  <property fmtid="{D5CDD505-2E9C-101B-9397-08002B2CF9AE}" pid="3" name="KSOProductBuildVer">
    <vt:lpwstr>2052-12.1.0.22529</vt:lpwstr>
  </property>
</Properties>
</file>