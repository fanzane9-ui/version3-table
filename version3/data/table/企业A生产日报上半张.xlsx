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Project\table\version3_4.8\version3\version3\data\table\"/>
    </mc:Choice>
  </mc:AlternateContent>
  <xr:revisionPtr revIDLastSave="0" documentId="13_ncr:1_{924AFE96-01A9-4E06-854A-F0BA298B1FC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5-31" sheetId="1" r:id="rId1"/>
  </sheets>
  <definedNames>
    <definedName name="_xlnm._FilterDatabase" localSheetId="0" hidden="1">'5-31'!$A$7:$BF$29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9" i="1" l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H29" i="1"/>
  <c r="D29" i="1"/>
  <c r="K28" i="1"/>
  <c r="L28" i="1" s="1"/>
  <c r="J28" i="1"/>
  <c r="I28" i="1"/>
  <c r="D28" i="1"/>
  <c r="K27" i="1"/>
  <c r="L27" i="1" s="1"/>
  <c r="J27" i="1"/>
  <c r="G27" i="1"/>
  <c r="I27" i="1" s="1"/>
  <c r="D27" i="1"/>
  <c r="K26" i="1"/>
  <c r="L26" i="1" s="1"/>
  <c r="J26" i="1"/>
  <c r="G26" i="1"/>
  <c r="I26" i="1" s="1"/>
  <c r="D26" i="1"/>
  <c r="K25" i="1"/>
  <c r="L25" i="1" s="1"/>
  <c r="J25" i="1"/>
  <c r="G25" i="1"/>
  <c r="I25" i="1" s="1"/>
  <c r="D25" i="1"/>
  <c r="K24" i="1"/>
  <c r="L24" i="1" s="1"/>
  <c r="J24" i="1"/>
  <c r="G24" i="1"/>
  <c r="I24" i="1" s="1"/>
  <c r="D24" i="1"/>
  <c r="K23" i="1"/>
  <c r="L23" i="1" s="1"/>
  <c r="J23" i="1"/>
  <c r="G23" i="1"/>
  <c r="I23" i="1" s="1"/>
  <c r="D23" i="1"/>
  <c r="K22" i="1"/>
  <c r="L22" i="1" s="1"/>
  <c r="J22" i="1"/>
  <c r="G22" i="1"/>
  <c r="I22" i="1" s="1"/>
  <c r="D22" i="1"/>
  <c r="K21" i="1"/>
  <c r="L21" i="1" s="1"/>
  <c r="J21" i="1"/>
  <c r="G21" i="1"/>
  <c r="I21" i="1" s="1"/>
  <c r="D21" i="1"/>
  <c r="K20" i="1"/>
  <c r="L20" i="1" s="1"/>
  <c r="J20" i="1"/>
  <c r="G20" i="1"/>
  <c r="I20" i="1" s="1"/>
  <c r="D20" i="1"/>
  <c r="K19" i="1"/>
  <c r="L19" i="1" s="1"/>
  <c r="J19" i="1"/>
  <c r="G19" i="1"/>
  <c r="I19" i="1" s="1"/>
  <c r="K18" i="1"/>
  <c r="L18" i="1" s="1"/>
  <c r="J18" i="1"/>
  <c r="G18" i="1"/>
  <c r="I18" i="1" s="1"/>
  <c r="D18" i="1"/>
  <c r="K17" i="1"/>
  <c r="L17" i="1" s="1"/>
  <c r="J17" i="1"/>
  <c r="G17" i="1"/>
  <c r="I17" i="1" s="1"/>
  <c r="D17" i="1"/>
  <c r="K16" i="1"/>
  <c r="L16" i="1" s="1"/>
  <c r="J16" i="1"/>
  <c r="G16" i="1"/>
  <c r="I16" i="1" s="1"/>
  <c r="D16" i="1"/>
  <c r="K15" i="1"/>
  <c r="L15" i="1" s="1"/>
  <c r="J15" i="1"/>
  <c r="G15" i="1"/>
  <c r="I15" i="1" s="1"/>
  <c r="D15" i="1"/>
  <c r="K14" i="1"/>
  <c r="L14" i="1" s="1"/>
  <c r="J14" i="1"/>
  <c r="G14" i="1"/>
  <c r="I14" i="1" s="1"/>
  <c r="D14" i="1"/>
  <c r="K13" i="1"/>
  <c r="L13" i="1" s="1"/>
  <c r="J13" i="1"/>
  <c r="G13" i="1"/>
  <c r="I13" i="1" s="1"/>
  <c r="D13" i="1"/>
  <c r="K12" i="1"/>
  <c r="J12" i="1"/>
  <c r="G12" i="1"/>
  <c r="I12" i="1" s="1"/>
  <c r="D12" i="1"/>
  <c r="K11" i="1"/>
  <c r="L11" i="1" s="1"/>
  <c r="J11" i="1"/>
  <c r="G11" i="1"/>
  <c r="I11" i="1" s="1"/>
  <c r="D11" i="1"/>
  <c r="K10" i="1"/>
  <c r="L10" i="1" s="1"/>
  <c r="J10" i="1"/>
  <c r="G10" i="1"/>
  <c r="I10" i="1" s="1"/>
  <c r="D10" i="1"/>
  <c r="K9" i="1"/>
  <c r="L9" i="1" s="1"/>
  <c r="J9" i="1"/>
  <c r="G9" i="1"/>
  <c r="I9" i="1" s="1"/>
  <c r="D9" i="1"/>
  <c r="K8" i="1"/>
  <c r="L8" i="1" s="1"/>
  <c r="J8" i="1"/>
  <c r="G8" i="1"/>
  <c r="D8" i="1"/>
  <c r="V5" i="1"/>
  <c r="O5" i="1"/>
  <c r="K29" i="1" l="1"/>
  <c r="L29" i="1" s="1"/>
  <c r="G29" i="1"/>
  <c r="I29" i="1" s="1"/>
  <c r="L12" i="1"/>
  <c r="I8" i="1"/>
  <c r="Y4" i="1" l="1"/>
  <c r="AK4" i="1"/>
  <c r="AE4" i="1"/>
  <c r="V4" i="1"/>
  <c r="Y5" i="1"/>
  <c r="AB4" i="1"/>
  <c r="AL5" i="1"/>
  <c r="AK5" i="1"/>
  <c r="AJ4" i="1"/>
  <c r="AJ5" i="1"/>
  <c r="AL4" i="1"/>
  <c r="AB5" i="1"/>
  <c r="AE5" i="1"/>
</calcChain>
</file>

<file path=xl/sharedStrings.xml><?xml version="1.0" encoding="utf-8"?>
<sst xmlns="http://schemas.openxmlformats.org/spreadsheetml/2006/main" count="89" uniqueCount="84">
  <si>
    <r>
      <rPr>
        <b/>
        <sz val="14"/>
        <rFont val="宋体"/>
        <charset val="134"/>
        <scheme val="minor"/>
      </rPr>
      <t xml:space="preserve">                          LED 注塑生产日报表(不含大流水生产)                   </t>
    </r>
    <r>
      <rPr>
        <b/>
        <sz val="11"/>
        <rFont val="宋体"/>
        <charset val="134"/>
        <scheme val="minor"/>
      </rPr>
      <t>生产日期：2025.05.31        编号：20250531</t>
    </r>
  </si>
  <si>
    <t>交班异常
注意事项</t>
  </si>
  <si>
    <t>机台号</t>
  </si>
  <si>
    <t>产品编码</t>
  </si>
  <si>
    <t>产品型号名称</t>
  </si>
  <si>
    <t>类别</t>
  </si>
  <si>
    <t>班次</t>
  </si>
  <si>
    <t>领班</t>
  </si>
  <si>
    <t>操作工</t>
  </si>
  <si>
    <t>开机台数</t>
  </si>
  <si>
    <t>换模</t>
  </si>
  <si>
    <t>试模</t>
  </si>
  <si>
    <t>试料</t>
  </si>
  <si>
    <t>稼动率</t>
  </si>
  <si>
    <t>不良品分类数量</t>
  </si>
  <si>
    <t>厚壁件</t>
  </si>
  <si>
    <t>大灯罩</t>
  </si>
  <si>
    <t>大灯底壳</t>
  </si>
  <si>
    <t>大灯中框</t>
  </si>
  <si>
    <t>小件</t>
  </si>
  <si>
    <t>反光碗、支架</t>
  </si>
  <si>
    <t>A班/白班</t>
  </si>
  <si>
    <t>小刘</t>
  </si>
  <si>
    <t>12人</t>
  </si>
  <si>
    <t>18台</t>
  </si>
  <si>
    <t>0台</t>
  </si>
  <si>
    <t>1台</t>
  </si>
  <si>
    <t>其中工艺调试不良品</t>
  </si>
  <si>
    <t>产品
周期s</t>
  </si>
  <si>
    <t>产品
型腔数</t>
  </si>
  <si>
    <t>理论
产能</t>
  </si>
  <si>
    <t>实际良品
产能</t>
  </si>
  <si>
    <t>产出率</t>
  </si>
  <si>
    <t>时效
产能</t>
  </si>
  <si>
    <t>不良数</t>
  </si>
  <si>
    <t>不良率</t>
  </si>
  <si>
    <t>产品缺陷种类</t>
  </si>
  <si>
    <t>工艺设备异常耗时（h)</t>
  </si>
  <si>
    <t>工艺调试</t>
  </si>
  <si>
    <t>黑点</t>
  </si>
  <si>
    <t>料花</t>
  </si>
  <si>
    <t>脏污</t>
  </si>
  <si>
    <t>拉丝</t>
  </si>
  <si>
    <t>缩水</t>
  </si>
  <si>
    <t>混色</t>
  </si>
  <si>
    <t>气泡</t>
  </si>
  <si>
    <t>流痕</t>
  </si>
  <si>
    <t>毛 边</t>
  </si>
  <si>
    <t>拉裂</t>
  </si>
  <si>
    <t>缺胶</t>
  </si>
  <si>
    <t>白点</t>
  </si>
  <si>
    <t>混料</t>
  </si>
  <si>
    <t>划伤</t>
  </si>
  <si>
    <t>发雾</t>
  </si>
  <si>
    <t>其他</t>
  </si>
  <si>
    <t xml:space="preserve">工艺
调试
</t>
  </si>
  <si>
    <t xml:space="preserve">换料加温
</t>
  </si>
  <si>
    <t xml:space="preserve">模具
维修
</t>
  </si>
  <si>
    <t>设备
维修</t>
  </si>
  <si>
    <t xml:space="preserve">其它
异常
</t>
  </si>
  <si>
    <t>作业员</t>
  </si>
  <si>
    <t>Q尾灯罩</t>
  </si>
  <si>
    <t>Q后尾灯底壳</t>
  </si>
  <si>
    <t>F大灯导光条（新）</t>
  </si>
  <si>
    <t>N90大灯装饰框</t>
  </si>
  <si>
    <t>24D13大灯装饰框</t>
  </si>
  <si>
    <t>24D13大灯底壳</t>
  </si>
  <si>
    <t>24D13尾灯罩</t>
  </si>
  <si>
    <t>24D13尾灯底壳</t>
  </si>
  <si>
    <t>24D13尾灯装饰框</t>
  </si>
  <si>
    <t>A075大灯灯罩</t>
  </si>
  <si>
    <t>24D13尾灯转向厚壁件（左）</t>
  </si>
  <si>
    <t>24D13尾灯转向厚壁件（右）</t>
  </si>
  <si>
    <t>24D13尾灯厚壁件</t>
  </si>
  <si>
    <t>A+前转向灯厚壁件-D</t>
  </si>
  <si>
    <t>M系前左转向灯厚壁件</t>
  </si>
  <si>
    <t>M系前右转向灯厚壁件</t>
  </si>
  <si>
    <t>M系前左转向灯罩</t>
  </si>
  <si>
    <t>M系前右转向灯罩</t>
  </si>
  <si>
    <t>221404019011</t>
  </si>
  <si>
    <t>Q尾灯罩（超声波）</t>
  </si>
  <si>
    <t>超声波故障</t>
  </si>
  <si>
    <t>合计</t>
  </si>
  <si>
    <t xml:space="preserve">换模
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</si>
</sst>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8" formatCode="0.0%"/>
    <numFmt numFmtId="179" formatCode="0;[Red]0"/>
    <numFmt numFmtId="180" formatCode="0_ "/>
    <numFmt numFmtId="181" formatCode="0.0_ "/>
  </numFmts>
  <fonts count="16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name val="宋体"/>
      <charset val="134"/>
      <scheme val="minor"/>
    </font>
    <font>
      <sz val="10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24"/>
      <name val="宋体"/>
      <charset val="134"/>
      <scheme val="minor"/>
    </font>
    <font>
      <b/>
      <sz val="12"/>
      <name val="宋体"/>
      <charset val="134"/>
      <scheme val="minor"/>
    </font>
    <font>
      <sz val="9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3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178" fontId="0" fillId="2" borderId="0" xfId="0" applyNumberFormat="1" applyFill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80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179" fontId="0" fillId="0" borderId="0" xfId="0" applyNumberFormat="1" applyAlignment="1">
      <alignment horizontal="left"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78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9" xfId="0" applyBorder="1">
      <alignment vertical="center"/>
    </xf>
    <xf numFmtId="0" fontId="2" fillId="0" borderId="2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0" fontId="6" fillId="0" borderId="10" xfId="0" applyNumberFormat="1" applyFont="1" applyBorder="1" applyAlignment="1">
      <alignment horizontal="center" vertical="center" wrapText="1"/>
    </xf>
    <xf numFmtId="180" fontId="0" fillId="0" borderId="1" xfId="0" applyNumberFormat="1" applyBorder="1" applyAlignment="1">
      <alignment horizontal="center" vertical="center" wrapText="1"/>
    </xf>
    <xf numFmtId="178" fontId="1" fillId="2" borderId="1" xfId="0" applyNumberFormat="1" applyFont="1" applyFill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80" fontId="4" fillId="3" borderId="1" xfId="0" applyNumberFormat="1" applyFont="1" applyFill="1" applyBorder="1" applyAlignment="1">
      <alignment horizontal="center" vertical="center"/>
    </xf>
    <xf numFmtId="178" fontId="4" fillId="3" borderId="12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178" fontId="1" fillId="2" borderId="19" xfId="0" applyNumberFormat="1" applyFont="1" applyFill="1" applyBorder="1" applyAlignment="1">
      <alignment horizontal="center" vertical="center"/>
    </xf>
    <xf numFmtId="179" fontId="0" fillId="0" borderId="19" xfId="0" applyNumberFormat="1" applyBorder="1" applyAlignment="1">
      <alignment horizontal="center" vertical="center"/>
    </xf>
    <xf numFmtId="180" fontId="0" fillId="3" borderId="19" xfId="0" applyNumberFormat="1" applyFill="1" applyBorder="1" applyAlignment="1">
      <alignment horizontal="center" vertical="center"/>
    </xf>
    <xf numFmtId="180" fontId="6" fillId="0" borderId="18" xfId="0" applyNumberFormat="1" applyFont="1" applyBorder="1" applyAlignment="1">
      <alignment horizontal="center" vertical="center"/>
    </xf>
    <xf numFmtId="180" fontId="6" fillId="0" borderId="19" xfId="0" applyNumberFormat="1" applyFont="1" applyBorder="1" applyAlignment="1">
      <alignment horizontal="center" vertical="center"/>
    </xf>
    <xf numFmtId="180" fontId="6" fillId="0" borderId="1" xfId="0" applyNumberFormat="1" applyFont="1" applyBorder="1" applyAlignment="1">
      <alignment horizontal="center" vertical="center" wrapText="1"/>
    </xf>
    <xf numFmtId="180" fontId="8" fillId="0" borderId="1" xfId="0" applyNumberFormat="1" applyFont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178" fontId="9" fillId="0" borderId="0" xfId="0" applyNumberFormat="1" applyFont="1">
      <alignment vertical="center"/>
    </xf>
    <xf numFmtId="0" fontId="10" fillId="4" borderId="25" xfId="0" applyFont="1" applyFill="1" applyBorder="1" applyAlignment="1">
      <alignment horizontal="center" vertical="center" wrapText="1"/>
    </xf>
    <xf numFmtId="180" fontId="8" fillId="0" borderId="26" xfId="0" applyNumberFormat="1" applyFont="1" applyBorder="1" applyAlignment="1">
      <alignment horizontal="center" vertical="center" wrapText="1"/>
    </xf>
    <xf numFmtId="180" fontId="8" fillId="0" borderId="27" xfId="0" applyNumberFormat="1" applyFont="1" applyBorder="1" applyAlignment="1">
      <alignment horizontal="center" vertical="center" wrapText="1"/>
    </xf>
    <xf numFmtId="180" fontId="8" fillId="0" borderId="28" xfId="0" applyNumberFormat="1" applyFont="1" applyBorder="1" applyAlignment="1">
      <alignment horizontal="center" vertical="center" wrapText="1"/>
    </xf>
    <xf numFmtId="0" fontId="11" fillId="0" borderId="15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/>
    </xf>
    <xf numFmtId="0" fontId="0" fillId="0" borderId="29" xfId="0" applyBorder="1" applyAlignment="1">
      <alignment horizontal="center" vertical="center"/>
    </xf>
    <xf numFmtId="180" fontId="6" fillId="0" borderId="1" xfId="0" applyNumberFormat="1" applyFont="1" applyBorder="1" applyAlignment="1">
      <alignment horizontal="center" vertical="top" wrapText="1"/>
    </xf>
    <xf numFmtId="180" fontId="6" fillId="0" borderId="26" xfId="0" applyNumberFormat="1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178" fontId="1" fillId="0" borderId="0" xfId="0" applyNumberFormat="1" applyFont="1">
      <alignment vertical="center"/>
    </xf>
    <xf numFmtId="179" fontId="1" fillId="0" borderId="0" xfId="0" applyNumberFormat="1" applyFont="1">
      <alignment vertical="center"/>
    </xf>
    <xf numFmtId="180" fontId="6" fillId="0" borderId="28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81" fontId="9" fillId="5" borderId="0" xfId="0" applyNumberFormat="1" applyFont="1" applyFill="1">
      <alignment vertical="center"/>
    </xf>
    <xf numFmtId="181" fontId="9" fillId="0" borderId="0" xfId="0" applyNumberFormat="1" applyFont="1">
      <alignment vertical="center"/>
    </xf>
    <xf numFmtId="0" fontId="0" fillId="5" borderId="0" xfId="0" applyFill="1">
      <alignment vertical="center"/>
    </xf>
    <xf numFmtId="0" fontId="12" fillId="5" borderId="0" xfId="0" applyFont="1" applyFill="1">
      <alignment vertical="center"/>
    </xf>
    <xf numFmtId="180" fontId="1" fillId="0" borderId="0" xfId="0" applyNumberFormat="1" applyFont="1" applyAlignment="1">
      <alignment horizontal="center" vertical="center"/>
    </xf>
    <xf numFmtId="58" fontId="1" fillId="0" borderId="0" xfId="0" applyNumberFormat="1" applyFont="1">
      <alignment vertical="center"/>
    </xf>
    <xf numFmtId="0" fontId="1" fillId="0" borderId="1" xfId="0" quotePrefix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49" fontId="7" fillId="4" borderId="9" xfId="0" applyNumberFormat="1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180" fontId="8" fillId="0" borderId="1" xfId="0" applyNumberFormat="1" applyFont="1" applyBorder="1" applyAlignment="1">
      <alignment horizontal="center" vertical="center" wrapText="1"/>
    </xf>
    <xf numFmtId="180" fontId="8" fillId="0" borderId="12" xfId="0" applyNumberFormat="1" applyFont="1" applyBorder="1" applyAlignment="1">
      <alignment horizontal="center" vertical="center" wrapText="1"/>
    </xf>
    <xf numFmtId="180" fontId="8" fillId="0" borderId="23" xfId="0" applyNumberFormat="1" applyFont="1" applyBorder="1" applyAlignment="1">
      <alignment horizontal="center" vertical="center" wrapText="1"/>
    </xf>
    <xf numFmtId="180" fontId="8" fillId="0" borderId="2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178" fontId="2" fillId="0" borderId="3" xfId="0" applyNumberFormat="1" applyFont="1" applyBorder="1" applyAlignment="1">
      <alignment horizontal="center" vertical="center"/>
    </xf>
    <xf numFmtId="178" fontId="2" fillId="0" borderId="22" xfId="0" applyNumberFormat="1" applyFont="1" applyBorder="1" applyAlignment="1">
      <alignment horizontal="center" vertical="center"/>
    </xf>
    <xf numFmtId="178" fontId="2" fillId="0" borderId="16" xfId="0" applyNumberFormat="1" applyFont="1" applyBorder="1" applyAlignment="1">
      <alignment horizontal="center" vertical="center"/>
    </xf>
    <xf numFmtId="180" fontId="8" fillId="0" borderId="3" xfId="0" applyNumberFormat="1" applyFont="1" applyBorder="1" applyAlignment="1">
      <alignment horizontal="center" vertical="center" wrapText="1"/>
    </xf>
    <xf numFmtId="180" fontId="8" fillId="0" borderId="24" xfId="0" applyNumberFormat="1" applyFont="1" applyBorder="1" applyAlignment="1">
      <alignment horizontal="center" vertical="center" wrapText="1"/>
    </xf>
    <xf numFmtId="180" fontId="8" fillId="0" borderId="0" xfId="0" applyNumberFormat="1" applyFont="1" applyAlignment="1">
      <alignment horizontal="center" vertical="center" wrapText="1"/>
    </xf>
    <xf numFmtId="180" fontId="8" fillId="0" borderId="11" xfId="0" applyNumberFormat="1" applyFont="1" applyBorder="1" applyAlignment="1">
      <alignment horizontal="center" vertical="center" wrapText="1"/>
    </xf>
    <xf numFmtId="180" fontId="0" fillId="0" borderId="5" xfId="0" applyNumberFormat="1" applyBorder="1" applyAlignment="1">
      <alignment horizontal="center" vertical="center"/>
    </xf>
    <xf numFmtId="180" fontId="0" fillId="0" borderId="9" xfId="0" applyNumberFormat="1" applyBorder="1" applyAlignment="1">
      <alignment horizontal="center" vertical="center"/>
    </xf>
    <xf numFmtId="180" fontId="0" fillId="0" borderId="25" xfId="0" applyNumberFormat="1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178" fontId="2" fillId="0" borderId="9" xfId="0" applyNumberFormat="1" applyFont="1" applyBorder="1" applyAlignment="1">
      <alignment horizontal="center" vertical="center"/>
    </xf>
    <xf numFmtId="178" fontId="0" fillId="2" borderId="14" xfId="0" applyNumberFormat="1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178" fontId="2" fillId="0" borderId="9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 wrapText="1"/>
    </xf>
    <xf numFmtId="179" fontId="0" fillId="0" borderId="14" xfId="0" applyNumberFormat="1" applyBorder="1" applyAlignment="1">
      <alignment horizontal="center" vertical="center" wrapText="1"/>
    </xf>
    <xf numFmtId="179" fontId="0" fillId="0" borderId="1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80" fontId="0" fillId="3" borderId="14" xfId="0" applyNumberFormat="1" applyFill="1" applyBorder="1" applyAlignment="1">
      <alignment horizontal="center" vertical="center"/>
    </xf>
    <xf numFmtId="180" fontId="0" fillId="3" borderId="1" xfId="0" applyNumberFormat="1" applyFill="1" applyBorder="1" applyAlignment="1">
      <alignment horizontal="center" vertical="center"/>
    </xf>
    <xf numFmtId="178" fontId="0" fillId="3" borderId="21" xfId="0" applyNumberFormat="1" applyFill="1" applyBorder="1" applyAlignment="1">
      <alignment horizontal="center" vertical="center"/>
    </xf>
    <xf numFmtId="178" fontId="0" fillId="3" borderId="12" xfId="0" applyNumberForma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3" fillId="0" borderId="2" xfId="0" applyNumberFormat="1" applyFont="1" applyBorder="1" applyAlignment="1">
      <alignment horizontal="center" vertical="center"/>
    </xf>
    <xf numFmtId="178" fontId="5" fillId="2" borderId="1" xfId="0" applyNumberFormat="1" applyFont="1" applyFill="1" applyBorder="1" applyAlignment="1">
      <alignment horizontal="center" vertical="center"/>
    </xf>
    <xf numFmtId="178" fontId="3" fillId="0" borderId="3" xfId="0" applyNumberFormat="1" applyFont="1" applyBorder="1" applyAlignment="1">
      <alignment horizontal="center" vertical="center"/>
    </xf>
    <xf numFmtId="178" fontId="3" fillId="0" borderId="4" xfId="0" applyNumberFormat="1" applyFont="1" applyBorder="1" applyAlignment="1">
      <alignment horizontal="center" vertical="center"/>
    </xf>
    <xf numFmtId="178" fontId="5" fillId="2" borderId="3" xfId="0" applyNumberFormat="1" applyFont="1" applyFill="1" applyBorder="1" applyAlignment="1">
      <alignment horizontal="center" vertical="center"/>
    </xf>
    <xf numFmtId="178" fontId="2" fillId="0" borderId="7" xfId="0" applyNumberFormat="1" applyFont="1" applyBorder="1" applyAlignment="1">
      <alignment horizontal="center" vertical="center"/>
    </xf>
    <xf numFmtId="178" fontId="2" fillId="0" borderId="12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10" xfId="0" applyNumberFormat="1" applyFont="1" applyBorder="1" applyAlignment="1">
      <alignment horizontal="center" vertical="center"/>
    </xf>
    <xf numFmtId="180" fontId="15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9"/>
  <sheetViews>
    <sheetView tabSelected="1" zoomScale="115" zoomScaleNormal="115" workbookViewId="0">
      <pane ySplit="7" topLeftCell="A8" activePane="bottomLeft" state="frozen"/>
      <selection pane="bottomLeft" activeCell="A30" sqref="A30"/>
    </sheetView>
  </sheetViews>
  <sheetFormatPr defaultColWidth="9" defaultRowHeight="13.5" x14ac:dyDescent="0.15"/>
  <cols>
    <col min="1" max="1" width="66" style="2" bestFit="1" customWidth="1"/>
    <col min="2" max="2" width="12.25" bestFit="1" customWidth="1"/>
    <col min="3" max="3" width="18" style="3" bestFit="1" customWidth="1"/>
    <col min="4" max="4" width="5.25" style="3" bestFit="1" customWidth="1"/>
    <col min="5" max="5" width="6.25" style="4" bestFit="1" customWidth="1"/>
    <col min="6" max="6" width="5.25" style="4" bestFit="1" customWidth="1"/>
    <col min="7" max="7" width="5.875" style="4" bestFit="1" customWidth="1"/>
    <col min="8" max="8" width="6.5" bestFit="1" customWidth="1"/>
    <col min="9" max="9" width="7.625" style="5" bestFit="1" customWidth="1"/>
    <col min="10" max="10" width="9" style="6" bestFit="1" customWidth="1"/>
    <col min="11" max="11" width="7.125" style="7" bestFit="1" customWidth="1"/>
    <col min="12" max="12" width="9" style="8" bestFit="1" customWidth="1"/>
    <col min="13" max="13" width="4.5" style="7" bestFit="1" customWidth="1"/>
    <col min="14" max="14" width="3.5" style="7" bestFit="1" customWidth="1"/>
    <col min="15" max="15" width="3.75" style="7" bestFit="1" customWidth="1"/>
    <col min="16" max="16" width="3.5" style="7" bestFit="1" customWidth="1"/>
    <col min="17" max="19" width="3.375" style="7" bestFit="1" customWidth="1"/>
    <col min="20" max="20" width="13" style="7" bestFit="1" customWidth="1"/>
    <col min="21" max="22" width="3.375" style="7" bestFit="1" customWidth="1"/>
    <col min="23" max="26" width="3.375" style="9" bestFit="1" customWidth="1"/>
    <col min="27" max="27" width="3.75" style="9" bestFit="1" customWidth="1"/>
    <col min="28" max="29" width="3.375" style="9" bestFit="1" customWidth="1"/>
    <col min="30" max="30" width="3.125" style="9" bestFit="1" customWidth="1"/>
    <col min="31" max="35" width="4.5" style="9" bestFit="1" customWidth="1"/>
    <col min="36" max="36" width="10.25" style="10" bestFit="1" customWidth="1"/>
    <col min="37" max="37" width="6" style="11" bestFit="1" customWidth="1"/>
    <col min="38" max="38" width="15" style="4" customWidth="1"/>
    <col min="39" max="39" width="8.5" style="12" customWidth="1"/>
    <col min="40" max="40" width="5.625" style="13" customWidth="1"/>
    <col min="41" max="41" width="12.875" style="7" customWidth="1"/>
    <col min="42" max="42" width="20.125" customWidth="1"/>
    <col min="43" max="57" width="3.625" customWidth="1"/>
    <col min="58" max="58" width="15.125" customWidth="1"/>
    <col min="59" max="59" width="16.125" customWidth="1"/>
  </cols>
  <sheetData>
    <row r="1" spans="1:58" ht="31.5" x14ac:dyDescent="0.15">
      <c r="A1" s="127" t="s">
        <v>0</v>
      </c>
      <c r="B1" s="128"/>
      <c r="C1" s="127"/>
      <c r="D1" s="127"/>
      <c r="E1" s="127"/>
      <c r="F1" s="127"/>
      <c r="G1" s="127"/>
      <c r="H1" s="127"/>
      <c r="I1" s="129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69" t="s">
        <v>1</v>
      </c>
      <c r="AK1" s="69"/>
      <c r="AL1" s="69"/>
      <c r="AM1" s="45"/>
      <c r="AN1" s="45"/>
      <c r="AO1" s="45"/>
      <c r="AP1" s="62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</row>
    <row r="2" spans="1:58" ht="31.5" x14ac:dyDescent="0.15">
      <c r="A2" s="130"/>
      <c r="B2" s="131"/>
      <c r="C2" s="130"/>
      <c r="D2" s="130"/>
      <c r="E2" s="130"/>
      <c r="F2" s="130"/>
      <c r="G2" s="130"/>
      <c r="H2" s="130"/>
      <c r="I2" s="132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70"/>
      <c r="AK2" s="70"/>
      <c r="AL2" s="70"/>
      <c r="AM2" s="45"/>
      <c r="AN2" s="45"/>
      <c r="AO2" s="45"/>
      <c r="AP2" s="63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</row>
    <row r="3" spans="1:58" ht="14.25" x14ac:dyDescent="0.15">
      <c r="A3" s="96" t="s">
        <v>2</v>
      </c>
      <c r="B3" s="104" t="s">
        <v>3</v>
      </c>
      <c r="C3" s="106" t="s">
        <v>4</v>
      </c>
      <c r="D3" s="109" t="s">
        <v>5</v>
      </c>
      <c r="E3" s="113" t="s">
        <v>6</v>
      </c>
      <c r="F3" s="113"/>
      <c r="G3" s="113" t="s">
        <v>7</v>
      </c>
      <c r="H3" s="113"/>
      <c r="I3" s="113" t="s">
        <v>8</v>
      </c>
      <c r="J3" s="116" t="s">
        <v>9</v>
      </c>
      <c r="K3" s="120" t="s">
        <v>10</v>
      </c>
      <c r="L3" s="120" t="s">
        <v>11</v>
      </c>
      <c r="M3" s="120" t="s">
        <v>12</v>
      </c>
      <c r="N3" s="120"/>
      <c r="O3" s="113" t="s">
        <v>13</v>
      </c>
      <c r="P3" s="133"/>
      <c r="Q3" s="135" t="s">
        <v>14</v>
      </c>
      <c r="R3" s="113"/>
      <c r="S3" s="113"/>
      <c r="T3" s="113"/>
      <c r="U3" s="113"/>
      <c r="V3" s="71" t="s">
        <v>15</v>
      </c>
      <c r="W3" s="71"/>
      <c r="X3" s="71"/>
      <c r="Y3" s="72" t="s">
        <v>16</v>
      </c>
      <c r="Z3" s="72"/>
      <c r="AA3" s="72"/>
      <c r="AB3" s="72" t="s">
        <v>11</v>
      </c>
      <c r="AC3" s="72"/>
      <c r="AD3" s="72"/>
      <c r="AE3" s="72" t="s">
        <v>17</v>
      </c>
      <c r="AF3" s="72"/>
      <c r="AG3" s="72"/>
      <c r="AH3" s="72"/>
      <c r="AI3" s="72"/>
      <c r="AJ3" s="44" t="s">
        <v>18</v>
      </c>
      <c r="AK3" s="44" t="s">
        <v>19</v>
      </c>
      <c r="AL3" s="46" t="s">
        <v>20</v>
      </c>
      <c r="AM3"/>
      <c r="AN3"/>
      <c r="AO3"/>
      <c r="AP3" s="64"/>
    </row>
    <row r="4" spans="1:58" x14ac:dyDescent="0.15">
      <c r="A4" s="97"/>
      <c r="B4" s="105"/>
      <c r="C4" s="107"/>
      <c r="D4" s="110"/>
      <c r="E4" s="77"/>
      <c r="F4" s="77"/>
      <c r="G4" s="77"/>
      <c r="H4" s="77"/>
      <c r="I4" s="77"/>
      <c r="J4" s="117"/>
      <c r="K4" s="95"/>
      <c r="L4" s="95"/>
      <c r="M4" s="95"/>
      <c r="N4" s="95"/>
      <c r="O4" s="77"/>
      <c r="P4" s="134"/>
      <c r="Q4" s="136"/>
      <c r="R4" s="77"/>
      <c r="S4" s="77"/>
      <c r="T4" s="77"/>
      <c r="U4" s="77"/>
      <c r="V4" s="73">
        <f ca="1">SUMIF($D$8:$K$29,V3,$K$8:$K$29)</f>
        <v>0</v>
      </c>
      <c r="W4" s="73"/>
      <c r="X4" s="73"/>
      <c r="Y4" s="73">
        <f ca="1">SUMIF($D$8:$K$29,Y3,$K$8:$K$29)</f>
        <v>0</v>
      </c>
      <c r="Z4" s="73"/>
      <c r="AA4" s="73"/>
      <c r="AB4" s="73">
        <f ca="1">SUMIF($D$8:$K$29,$AB$3,$K$8:$K$29)</f>
        <v>0</v>
      </c>
      <c r="AC4" s="73"/>
      <c r="AD4" s="73"/>
      <c r="AE4" s="74">
        <f ca="1">SUMIF($D$8:$K$29,AE3,$K$8:$K$29)</f>
        <v>0</v>
      </c>
      <c r="AF4" s="75"/>
      <c r="AG4" s="75"/>
      <c r="AH4" s="75"/>
      <c r="AI4" s="76"/>
      <c r="AJ4" s="43">
        <f ca="1">SUMIF($D$8:$K$29,AJ3,$K$8:$K$29)</f>
        <v>0</v>
      </c>
      <c r="AK4" s="43">
        <f ca="1">SUMIF($D$8:$K$29,AK3,$K$8:$K$29)</f>
        <v>0</v>
      </c>
      <c r="AL4" s="47">
        <f ca="1">SUMIF($D$8:$K$29,AL3,$K$8:$K$29)</f>
        <v>0</v>
      </c>
      <c r="AM4" s="4"/>
      <c r="AN4"/>
      <c r="AO4"/>
    </row>
    <row r="5" spans="1:58" x14ac:dyDescent="0.15">
      <c r="A5" s="97"/>
      <c r="B5" s="105"/>
      <c r="C5" s="107"/>
      <c r="D5" s="110"/>
      <c r="E5" s="77" t="s">
        <v>21</v>
      </c>
      <c r="F5" s="77"/>
      <c r="G5" s="77" t="s">
        <v>22</v>
      </c>
      <c r="H5" s="77"/>
      <c r="I5" s="14" t="s">
        <v>23</v>
      </c>
      <c r="J5" s="14" t="s">
        <v>24</v>
      </c>
      <c r="K5" s="29" t="s">
        <v>25</v>
      </c>
      <c r="L5" s="14" t="s">
        <v>26</v>
      </c>
      <c r="M5" s="78"/>
      <c r="N5" s="78"/>
      <c r="O5" s="78">
        <f>(18/50)*100%</f>
        <v>0.36</v>
      </c>
      <c r="P5" s="79"/>
      <c r="Q5" s="80" t="s">
        <v>27</v>
      </c>
      <c r="R5" s="78"/>
      <c r="S5" s="78"/>
      <c r="T5" s="78"/>
      <c r="U5" s="78"/>
      <c r="V5" s="81">
        <f>SUMIFS($M$8:$M$29,$D$8:$D$29,V3)</f>
        <v>0</v>
      </c>
      <c r="W5" s="81"/>
      <c r="X5" s="81"/>
      <c r="Y5" s="82">
        <f ca="1">SUMIF($D$8:$M$29,$Y$3,$M$8:$M$29)</f>
        <v>0</v>
      </c>
      <c r="Z5" s="83"/>
      <c r="AA5" s="84"/>
      <c r="AB5" s="82">
        <f ca="1">SUMIF($D$8:$L$29,$AB$3,$M$8:$M$29)</f>
        <v>0</v>
      </c>
      <c r="AC5" s="83"/>
      <c r="AD5" s="84"/>
      <c r="AE5" s="82">
        <f ca="1">SUMIF($D$8:$M$29,AE3,$M$8:$M$29)</f>
        <v>0</v>
      </c>
      <c r="AF5" s="83"/>
      <c r="AG5" s="83"/>
      <c r="AH5" s="83"/>
      <c r="AI5" s="84"/>
      <c r="AJ5" s="48">
        <f ca="1">SUMIF($D$8:$M$29,AJ3,$M$8:$M$29)</f>
        <v>0</v>
      </c>
      <c r="AK5" s="48">
        <f ca="1">SUMIF($D$8:$M$29,AK3,$M$8:$M$29)</f>
        <v>0</v>
      </c>
      <c r="AL5" s="49">
        <f ca="1">SUMIF($D$8:$M$29,$AL$3,$M$8:$M$29)</f>
        <v>0</v>
      </c>
      <c r="AM5" s="4"/>
      <c r="AN5"/>
      <c r="AO5"/>
    </row>
    <row r="6" spans="1:58" x14ac:dyDescent="0.15">
      <c r="A6" s="97"/>
      <c r="B6" s="105"/>
      <c r="C6" s="107"/>
      <c r="D6" s="110"/>
      <c r="E6" s="111" t="s">
        <v>28</v>
      </c>
      <c r="F6" s="111" t="s">
        <v>29</v>
      </c>
      <c r="G6" s="112" t="s">
        <v>30</v>
      </c>
      <c r="H6" s="111" t="s">
        <v>31</v>
      </c>
      <c r="I6" s="114" t="s">
        <v>32</v>
      </c>
      <c r="J6" s="118" t="s">
        <v>33</v>
      </c>
      <c r="K6" s="121" t="s">
        <v>34</v>
      </c>
      <c r="L6" s="123" t="s">
        <v>35</v>
      </c>
      <c r="M6" s="85" t="s">
        <v>36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 t="s">
        <v>37</v>
      </c>
      <c r="AE6" s="86"/>
      <c r="AF6" s="86"/>
      <c r="AG6" s="86"/>
      <c r="AH6" s="86"/>
      <c r="AI6" s="87"/>
      <c r="AJ6" s="50"/>
      <c r="AK6" s="51"/>
      <c r="AL6" s="52"/>
      <c r="AM6" s="4"/>
      <c r="AN6"/>
      <c r="AO6"/>
    </row>
    <row r="7" spans="1:58" ht="36" x14ac:dyDescent="0.15">
      <c r="A7" s="98"/>
      <c r="B7" s="94"/>
      <c r="C7" s="107"/>
      <c r="D7" s="108"/>
      <c r="E7" s="69"/>
      <c r="F7" s="69"/>
      <c r="G7" s="103"/>
      <c r="H7" s="69"/>
      <c r="I7" s="115"/>
      <c r="J7" s="119"/>
      <c r="K7" s="122"/>
      <c r="L7" s="124"/>
      <c r="M7" s="30" t="s">
        <v>38</v>
      </c>
      <c r="N7" s="31" t="s">
        <v>39</v>
      </c>
      <c r="O7" s="31" t="s">
        <v>40</v>
      </c>
      <c r="P7" s="31" t="s">
        <v>41</v>
      </c>
      <c r="Q7" s="31" t="s">
        <v>42</v>
      </c>
      <c r="R7" s="31" t="s">
        <v>43</v>
      </c>
      <c r="S7" s="31" t="s">
        <v>44</v>
      </c>
      <c r="T7" s="31" t="s">
        <v>45</v>
      </c>
      <c r="U7" s="31" t="s">
        <v>46</v>
      </c>
      <c r="V7" s="31" t="s">
        <v>47</v>
      </c>
      <c r="W7" s="31" t="s">
        <v>48</v>
      </c>
      <c r="X7" s="31" t="s">
        <v>49</v>
      </c>
      <c r="Y7" s="31" t="s">
        <v>50</v>
      </c>
      <c r="Z7" s="31" t="s">
        <v>51</v>
      </c>
      <c r="AA7" s="31" t="s">
        <v>52</v>
      </c>
      <c r="AB7" s="31" t="s">
        <v>53</v>
      </c>
      <c r="AC7" s="31" t="s">
        <v>54</v>
      </c>
      <c r="AD7" s="137" t="s">
        <v>83</v>
      </c>
      <c r="AE7" s="42" t="s">
        <v>55</v>
      </c>
      <c r="AF7" s="42" t="s">
        <v>56</v>
      </c>
      <c r="AG7" s="42" t="s">
        <v>57</v>
      </c>
      <c r="AH7" s="53" t="s">
        <v>58</v>
      </c>
      <c r="AI7" s="54" t="s">
        <v>59</v>
      </c>
      <c r="AJ7" s="88"/>
      <c r="AK7" s="89"/>
      <c r="AL7" s="55" t="s">
        <v>60</v>
      </c>
      <c r="AM7"/>
      <c r="AN7"/>
      <c r="AO7"/>
      <c r="AP7" s="65"/>
    </row>
    <row r="8" spans="1:58" s="1" customFormat="1" x14ac:dyDescent="0.15">
      <c r="A8" s="15">
        <v>3</v>
      </c>
      <c r="B8" s="15">
        <v>3332001577</v>
      </c>
      <c r="C8" s="16" t="s">
        <v>61</v>
      </c>
      <c r="D8" s="16" t="str">
        <f>IFERROR(VLOOKUP(B8,#REF!,5,0),"")</f>
        <v/>
      </c>
      <c r="E8" s="16">
        <v>30</v>
      </c>
      <c r="F8" s="16">
        <v>2</v>
      </c>
      <c r="G8" s="16">
        <f t="shared" ref="G8:G18" si="0">ROUND(60*60/E8*F8*12,0)</f>
        <v>2880</v>
      </c>
      <c r="H8" s="17">
        <v>2849</v>
      </c>
      <c r="I8" s="32">
        <f t="shared" ref="I8:I29" si="1">H8/G8</f>
        <v>0.98923611111111109</v>
      </c>
      <c r="J8" s="33">
        <f t="shared" ref="J8:J18" si="2">H8/12</f>
        <v>237.41666666666666</v>
      </c>
      <c r="K8" s="34">
        <f t="shared" ref="K8:K28" si="3">SUM(M8:AC8)</f>
        <v>21</v>
      </c>
      <c r="L8" s="35">
        <f t="shared" ref="L8:L29" si="4">K8/(H8+K8)</f>
        <v>7.3170731707317077E-3</v>
      </c>
      <c r="M8" s="36">
        <v>15</v>
      </c>
      <c r="N8" s="16"/>
      <c r="O8" s="16">
        <v>2</v>
      </c>
      <c r="P8" s="16"/>
      <c r="Q8" s="16"/>
      <c r="R8" s="16"/>
      <c r="S8" s="16"/>
      <c r="T8" s="16"/>
      <c r="U8" s="16"/>
      <c r="V8" s="16"/>
      <c r="W8" s="16"/>
      <c r="X8" s="16">
        <v>4</v>
      </c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56"/>
      <c r="AJ8" s="90"/>
      <c r="AK8" s="91"/>
      <c r="AL8" s="57"/>
      <c r="AM8" s="58"/>
      <c r="AN8" s="59"/>
      <c r="AO8" s="66"/>
    </row>
    <row r="9" spans="1:58" s="1" customFormat="1" x14ac:dyDescent="0.15">
      <c r="A9" s="15">
        <v>6</v>
      </c>
      <c r="B9" s="15">
        <v>3332001586</v>
      </c>
      <c r="C9" s="16" t="s">
        <v>62</v>
      </c>
      <c r="D9" s="16" t="str">
        <f>IFERROR(VLOOKUP(B9,#REF!,5,0),"")</f>
        <v/>
      </c>
      <c r="E9" s="16">
        <v>25</v>
      </c>
      <c r="F9" s="16">
        <v>2</v>
      </c>
      <c r="G9" s="16">
        <f t="shared" si="0"/>
        <v>3456</v>
      </c>
      <c r="H9" s="17">
        <v>3000</v>
      </c>
      <c r="I9" s="32">
        <f t="shared" si="1"/>
        <v>0.86805555555555558</v>
      </c>
      <c r="J9" s="33">
        <f t="shared" si="2"/>
        <v>250</v>
      </c>
      <c r="K9" s="34">
        <f t="shared" si="3"/>
        <v>2</v>
      </c>
      <c r="L9" s="35">
        <f t="shared" si="4"/>
        <v>6.6622251832111927E-4</v>
      </c>
      <c r="M9" s="36"/>
      <c r="N9" s="16"/>
      <c r="O9" s="16">
        <v>2</v>
      </c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56"/>
      <c r="AJ9" s="90"/>
      <c r="AK9" s="91"/>
      <c r="AL9" s="57"/>
      <c r="AM9" s="58"/>
      <c r="AN9" s="59"/>
      <c r="AO9" s="66"/>
      <c r="BA9" s="67"/>
    </row>
    <row r="10" spans="1:58" s="1" customFormat="1" x14ac:dyDescent="0.15">
      <c r="A10" s="18">
        <v>18</v>
      </c>
      <c r="B10" s="19">
        <v>3332000807</v>
      </c>
      <c r="C10" s="16" t="s">
        <v>63</v>
      </c>
      <c r="D10" s="16" t="str">
        <f>IFERROR(VLOOKUP(B10,#REF!,5,0),"")</f>
        <v/>
      </c>
      <c r="E10" s="16">
        <v>32</v>
      </c>
      <c r="F10" s="16">
        <v>2</v>
      </c>
      <c r="G10" s="16">
        <f t="shared" si="0"/>
        <v>2700</v>
      </c>
      <c r="H10" s="17">
        <v>2574</v>
      </c>
      <c r="I10" s="32">
        <f t="shared" si="1"/>
        <v>0.95333333333333337</v>
      </c>
      <c r="J10" s="33">
        <f t="shared" si="2"/>
        <v>214.5</v>
      </c>
      <c r="K10" s="34">
        <f t="shared" si="3"/>
        <v>4</v>
      </c>
      <c r="L10" s="35">
        <f t="shared" si="4"/>
        <v>1.5515903801396431E-3</v>
      </c>
      <c r="M10" s="36"/>
      <c r="N10" s="16"/>
      <c r="O10" s="16">
        <v>4</v>
      </c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56"/>
      <c r="AJ10" s="90"/>
      <c r="AK10" s="91"/>
      <c r="AL10" s="57"/>
      <c r="AM10" s="58"/>
      <c r="AN10" s="59"/>
      <c r="AO10" s="66"/>
      <c r="BA10" s="67"/>
    </row>
    <row r="11" spans="1:58" s="1" customFormat="1" x14ac:dyDescent="0.15">
      <c r="A11" s="20">
        <v>19</v>
      </c>
      <c r="B11" s="15">
        <v>3332000803</v>
      </c>
      <c r="C11" s="21" t="s">
        <v>64</v>
      </c>
      <c r="D11" s="16" t="str">
        <f>IFERROR(VLOOKUP(B11,#REF!,5,0),"")</f>
        <v/>
      </c>
      <c r="E11" s="16">
        <v>14</v>
      </c>
      <c r="F11" s="16">
        <v>2</v>
      </c>
      <c r="G11" s="16">
        <f t="shared" si="0"/>
        <v>6171</v>
      </c>
      <c r="H11" s="17">
        <v>5987</v>
      </c>
      <c r="I11" s="32">
        <f t="shared" si="1"/>
        <v>0.97018311456814132</v>
      </c>
      <c r="J11" s="33">
        <f t="shared" si="2"/>
        <v>498.91666666666669</v>
      </c>
      <c r="K11" s="34">
        <f t="shared" si="3"/>
        <v>0</v>
      </c>
      <c r="L11" s="35">
        <f t="shared" si="4"/>
        <v>0</v>
      </c>
      <c r="M11" s="3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56"/>
      <c r="AJ11" s="90"/>
      <c r="AK11" s="91"/>
      <c r="AL11" s="57"/>
      <c r="AM11" s="58"/>
      <c r="AN11" s="59"/>
      <c r="AO11" s="66"/>
      <c r="BA11" s="67"/>
    </row>
    <row r="12" spans="1:58" s="1" customFormat="1" x14ac:dyDescent="0.15">
      <c r="A12" s="15">
        <v>20</v>
      </c>
      <c r="B12" s="19">
        <v>3332000803</v>
      </c>
      <c r="C12" s="16" t="s">
        <v>64</v>
      </c>
      <c r="D12" s="16" t="str">
        <f>IFERROR(VLOOKUP(B12,#REF!,5,0),"")</f>
        <v/>
      </c>
      <c r="E12" s="16">
        <v>35</v>
      </c>
      <c r="F12" s="16">
        <v>1</v>
      </c>
      <c r="G12" s="16">
        <f t="shared" si="0"/>
        <v>1234</v>
      </c>
      <c r="H12" s="17">
        <v>987</v>
      </c>
      <c r="I12" s="32">
        <f t="shared" si="1"/>
        <v>0.79983792544570498</v>
      </c>
      <c r="J12" s="33">
        <f t="shared" si="2"/>
        <v>82.25</v>
      </c>
      <c r="K12" s="34">
        <f t="shared" si="3"/>
        <v>0</v>
      </c>
      <c r="L12" s="35">
        <f t="shared" si="4"/>
        <v>0</v>
      </c>
      <c r="M12" s="3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56"/>
      <c r="AJ12" s="90"/>
      <c r="AK12" s="91"/>
      <c r="AL12" s="57"/>
      <c r="AM12" s="58"/>
      <c r="AN12" s="59"/>
      <c r="AO12" s="66"/>
      <c r="BA12" s="67"/>
    </row>
    <row r="13" spans="1:58" s="1" customFormat="1" x14ac:dyDescent="0.15">
      <c r="A13" s="22">
        <v>22</v>
      </c>
      <c r="B13" s="15">
        <v>3332002728</v>
      </c>
      <c r="C13" s="21" t="s">
        <v>65</v>
      </c>
      <c r="D13" s="16" t="str">
        <f>IFERROR(VLOOKUP(B13,#REF!,5,0),"")</f>
        <v/>
      </c>
      <c r="E13" s="16">
        <v>23</v>
      </c>
      <c r="F13" s="16">
        <v>2</v>
      </c>
      <c r="G13" s="16">
        <f t="shared" si="0"/>
        <v>3757</v>
      </c>
      <c r="H13" s="17">
        <v>3584</v>
      </c>
      <c r="I13" s="32">
        <f t="shared" si="1"/>
        <v>0.95395262177269102</v>
      </c>
      <c r="J13" s="33">
        <f t="shared" si="2"/>
        <v>298.66666666666669</v>
      </c>
      <c r="K13" s="34">
        <f t="shared" si="3"/>
        <v>16</v>
      </c>
      <c r="L13" s="35">
        <f t="shared" si="4"/>
        <v>4.4444444444444444E-3</v>
      </c>
      <c r="M13" s="36"/>
      <c r="N13" s="16"/>
      <c r="O13" s="16">
        <v>5</v>
      </c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>
        <v>11</v>
      </c>
      <c r="AB13" s="16"/>
      <c r="AC13" s="16"/>
      <c r="AD13" s="16"/>
      <c r="AE13" s="16"/>
      <c r="AF13" s="16"/>
      <c r="AG13" s="16"/>
      <c r="AH13" s="16"/>
      <c r="AI13" s="56"/>
      <c r="AJ13" s="90"/>
      <c r="AK13" s="91"/>
      <c r="AL13" s="57"/>
      <c r="AM13" s="58"/>
      <c r="AN13" s="59"/>
      <c r="AO13" s="66"/>
      <c r="BA13" s="67"/>
    </row>
    <row r="14" spans="1:58" s="1" customFormat="1" x14ac:dyDescent="0.15">
      <c r="A14" s="22">
        <v>24</v>
      </c>
      <c r="B14" s="15">
        <v>3332002729</v>
      </c>
      <c r="C14" s="21" t="s">
        <v>66</v>
      </c>
      <c r="D14" s="16" t="str">
        <f>IFERROR(VLOOKUP(B14,#REF!,5,0),"")</f>
        <v/>
      </c>
      <c r="E14" s="16">
        <v>43</v>
      </c>
      <c r="F14" s="16">
        <v>2</v>
      </c>
      <c r="G14" s="16">
        <f t="shared" si="0"/>
        <v>2009</v>
      </c>
      <c r="H14" s="17">
        <v>1952</v>
      </c>
      <c r="I14" s="32">
        <f t="shared" si="1"/>
        <v>0.97162767546042805</v>
      </c>
      <c r="J14" s="33">
        <f t="shared" si="2"/>
        <v>162.66666666666666</v>
      </c>
      <c r="K14" s="34">
        <f t="shared" si="3"/>
        <v>0</v>
      </c>
      <c r="L14" s="35">
        <f t="shared" si="4"/>
        <v>0</v>
      </c>
      <c r="M14" s="3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56"/>
      <c r="AJ14" s="90"/>
      <c r="AK14" s="91"/>
      <c r="AL14" s="57"/>
      <c r="AM14" s="58"/>
      <c r="AN14" s="59"/>
      <c r="AO14" s="66"/>
      <c r="BA14" s="67"/>
    </row>
    <row r="15" spans="1:58" s="1" customFormat="1" x14ac:dyDescent="0.15">
      <c r="A15" s="22">
        <v>25</v>
      </c>
      <c r="B15" s="15">
        <v>3332002730</v>
      </c>
      <c r="C15" s="21" t="s">
        <v>67</v>
      </c>
      <c r="D15" s="16" t="str">
        <f>IFERROR(VLOOKUP(B15,#REF!,5,0),"")</f>
        <v/>
      </c>
      <c r="E15" s="16">
        <v>3</v>
      </c>
      <c r="F15" s="16">
        <v>2</v>
      </c>
      <c r="G15" s="16">
        <f t="shared" si="0"/>
        <v>28800</v>
      </c>
      <c r="H15" s="17">
        <v>25896</v>
      </c>
      <c r="I15" s="32">
        <f t="shared" si="1"/>
        <v>0.89916666666666667</v>
      </c>
      <c r="J15" s="33">
        <f t="shared" si="2"/>
        <v>2158</v>
      </c>
      <c r="K15" s="34">
        <f t="shared" si="3"/>
        <v>14</v>
      </c>
      <c r="L15" s="35">
        <f t="shared" si="4"/>
        <v>5.4033191817830955E-4</v>
      </c>
      <c r="M15" s="36"/>
      <c r="N15" s="16"/>
      <c r="O15" s="16">
        <v>14</v>
      </c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56"/>
      <c r="AJ15" s="90"/>
      <c r="AK15" s="91"/>
      <c r="AL15" s="57"/>
      <c r="AM15" s="58"/>
      <c r="AN15" s="59"/>
      <c r="AO15" s="66"/>
      <c r="BA15" s="67"/>
    </row>
    <row r="16" spans="1:58" s="1" customFormat="1" x14ac:dyDescent="0.15">
      <c r="A16" s="22">
        <v>26</v>
      </c>
      <c r="B16" s="15">
        <v>3332002735</v>
      </c>
      <c r="C16" s="21" t="s">
        <v>68</v>
      </c>
      <c r="D16" s="16" t="str">
        <f>IFERROR(VLOOKUP(B16,#REF!,5,0),"")</f>
        <v/>
      </c>
      <c r="E16" s="16">
        <v>32</v>
      </c>
      <c r="F16" s="16">
        <v>2</v>
      </c>
      <c r="G16" s="16">
        <f t="shared" si="0"/>
        <v>2700</v>
      </c>
      <c r="H16" s="17">
        <v>2596</v>
      </c>
      <c r="I16" s="32">
        <f t="shared" si="1"/>
        <v>0.96148148148148149</v>
      </c>
      <c r="J16" s="33">
        <f t="shared" si="2"/>
        <v>216.33333333333334</v>
      </c>
      <c r="K16" s="34">
        <f t="shared" si="3"/>
        <v>0</v>
      </c>
      <c r="L16" s="35">
        <f t="shared" si="4"/>
        <v>0</v>
      </c>
      <c r="M16" s="3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56"/>
      <c r="AJ16" s="90"/>
      <c r="AK16" s="91"/>
      <c r="AL16" s="57"/>
      <c r="AM16" s="58"/>
      <c r="AN16" s="59"/>
      <c r="AO16" s="66"/>
      <c r="BA16" s="67"/>
    </row>
    <row r="17" spans="1:53" s="1" customFormat="1" x14ac:dyDescent="0.15">
      <c r="A17" s="15">
        <v>27</v>
      </c>
      <c r="B17" s="19">
        <v>3332000803</v>
      </c>
      <c r="C17" s="16" t="s">
        <v>64</v>
      </c>
      <c r="D17" s="16" t="str">
        <f>IFERROR(VLOOKUP(B17,#REF!,5,0),"")</f>
        <v/>
      </c>
      <c r="E17" s="16">
        <v>43</v>
      </c>
      <c r="F17" s="16">
        <v>2</v>
      </c>
      <c r="G17" s="16">
        <f t="shared" si="0"/>
        <v>2009</v>
      </c>
      <c r="H17" s="17">
        <v>1864</v>
      </c>
      <c r="I17" s="32">
        <f t="shared" si="1"/>
        <v>0.92782478845196614</v>
      </c>
      <c r="J17" s="33">
        <f t="shared" si="2"/>
        <v>155.33333333333334</v>
      </c>
      <c r="K17" s="34">
        <f t="shared" si="3"/>
        <v>6</v>
      </c>
      <c r="L17" s="35">
        <f t="shared" si="4"/>
        <v>3.2085561497326204E-3</v>
      </c>
      <c r="M17" s="3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>
        <v>6</v>
      </c>
      <c r="AB17" s="16"/>
      <c r="AC17" s="16"/>
      <c r="AD17" s="16"/>
      <c r="AE17" s="16"/>
      <c r="AF17" s="16"/>
      <c r="AG17" s="16"/>
      <c r="AH17" s="16"/>
      <c r="AI17" s="56"/>
      <c r="AJ17" s="90"/>
      <c r="AK17" s="91"/>
      <c r="AL17" s="57"/>
      <c r="AM17" s="58"/>
      <c r="AN17" s="59"/>
      <c r="AO17" s="66"/>
      <c r="BA17" s="67"/>
    </row>
    <row r="18" spans="1:53" s="1" customFormat="1" x14ac:dyDescent="0.15">
      <c r="A18" s="15">
        <v>30</v>
      </c>
      <c r="B18" s="19">
        <v>3332002731</v>
      </c>
      <c r="C18" s="16" t="s">
        <v>69</v>
      </c>
      <c r="D18" s="16" t="str">
        <f>IFERROR(VLOOKUP(B18,#REF!,5,0),"")</f>
        <v/>
      </c>
      <c r="E18" s="16">
        <v>45</v>
      </c>
      <c r="F18" s="16">
        <v>2</v>
      </c>
      <c r="G18" s="16">
        <f t="shared" si="0"/>
        <v>1920</v>
      </c>
      <c r="H18" s="17">
        <v>1693</v>
      </c>
      <c r="I18" s="32">
        <f t="shared" si="1"/>
        <v>0.88177083333333328</v>
      </c>
      <c r="J18" s="33">
        <f t="shared" si="2"/>
        <v>141.08333333333334</v>
      </c>
      <c r="K18" s="34">
        <f t="shared" si="3"/>
        <v>7</v>
      </c>
      <c r="L18" s="35">
        <f t="shared" si="4"/>
        <v>4.1176470588235297E-3</v>
      </c>
      <c r="M18" s="3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>
        <v>7</v>
      </c>
      <c r="AB18" s="16"/>
      <c r="AC18" s="16"/>
      <c r="AD18" s="16"/>
      <c r="AE18" s="16"/>
      <c r="AF18" s="16"/>
      <c r="AG18" s="16"/>
      <c r="AH18" s="16"/>
      <c r="AI18" s="56"/>
      <c r="AJ18" s="90"/>
      <c r="AK18" s="91"/>
      <c r="AL18" s="57"/>
      <c r="AM18" s="58"/>
      <c r="AN18" s="59"/>
      <c r="AO18" s="66"/>
      <c r="BA18" s="67"/>
    </row>
    <row r="19" spans="1:53" s="1" customFormat="1" x14ac:dyDescent="0.15">
      <c r="A19" s="22">
        <v>36</v>
      </c>
      <c r="B19" s="15" t="s">
        <v>11</v>
      </c>
      <c r="C19" s="21" t="s">
        <v>70</v>
      </c>
      <c r="D19" s="16" t="s">
        <v>11</v>
      </c>
      <c r="E19" s="16">
        <v>9</v>
      </c>
      <c r="F19" s="16">
        <v>2</v>
      </c>
      <c r="G19" s="16">
        <f>ROUND(60*60/E19*F19*2,0)</f>
        <v>1600</v>
      </c>
      <c r="H19" s="17">
        <v>1482</v>
      </c>
      <c r="I19" s="32">
        <f t="shared" si="1"/>
        <v>0.92625000000000002</v>
      </c>
      <c r="J19" s="33">
        <f>H19/2</f>
        <v>741</v>
      </c>
      <c r="K19" s="34">
        <f t="shared" si="3"/>
        <v>0</v>
      </c>
      <c r="L19" s="35">
        <f t="shared" si="4"/>
        <v>0</v>
      </c>
      <c r="M19" s="3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56"/>
      <c r="AJ19" s="90"/>
      <c r="AK19" s="91"/>
      <c r="AL19" s="57"/>
      <c r="AM19" s="58"/>
      <c r="AN19" s="59"/>
      <c r="AO19" s="66"/>
      <c r="BA19" s="67"/>
    </row>
    <row r="20" spans="1:53" s="1" customFormat="1" ht="24" x14ac:dyDescent="0.15">
      <c r="A20" s="99">
        <v>37</v>
      </c>
      <c r="B20" s="15">
        <v>3332002733</v>
      </c>
      <c r="C20" s="16" t="s">
        <v>71</v>
      </c>
      <c r="D20" s="16" t="str">
        <f>IFERROR(VLOOKUP(B20,#REF!,5,0),"")</f>
        <v/>
      </c>
      <c r="E20" s="16">
        <v>16</v>
      </c>
      <c r="F20" s="16">
        <v>3</v>
      </c>
      <c r="G20" s="16">
        <f t="shared" ref="G20:G27" si="5">ROUND(60*60/E20*F20*12,0)</f>
        <v>8100</v>
      </c>
      <c r="H20" s="17">
        <v>7039</v>
      </c>
      <c r="I20" s="32">
        <f t="shared" si="1"/>
        <v>0.86901234567901231</v>
      </c>
      <c r="J20" s="33">
        <f t="shared" ref="J20:J28" si="6">H20/12</f>
        <v>586.58333333333337</v>
      </c>
      <c r="K20" s="34">
        <f t="shared" si="3"/>
        <v>0</v>
      </c>
      <c r="L20" s="35">
        <f t="shared" si="4"/>
        <v>0</v>
      </c>
      <c r="M20" s="3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56"/>
      <c r="AJ20" s="90"/>
      <c r="AK20" s="91"/>
      <c r="AL20" s="125"/>
      <c r="AM20" s="58"/>
      <c r="AN20" s="59"/>
      <c r="AO20" s="66"/>
      <c r="BA20" s="67"/>
    </row>
    <row r="21" spans="1:53" s="1" customFormat="1" ht="24" x14ac:dyDescent="0.15">
      <c r="A21" s="100"/>
      <c r="B21" s="19">
        <v>3332002734</v>
      </c>
      <c r="C21" s="16" t="s">
        <v>72</v>
      </c>
      <c r="D21" s="16" t="str">
        <f>IFERROR(VLOOKUP(B21,#REF!,5,0),"")</f>
        <v/>
      </c>
      <c r="E21" s="16">
        <v>13</v>
      </c>
      <c r="F21" s="16">
        <v>3</v>
      </c>
      <c r="G21" s="16">
        <f t="shared" si="5"/>
        <v>9969</v>
      </c>
      <c r="H21" s="17">
        <v>8659</v>
      </c>
      <c r="I21" s="32">
        <f t="shared" si="1"/>
        <v>0.86859263717524327</v>
      </c>
      <c r="J21" s="33">
        <f t="shared" si="6"/>
        <v>721.58333333333337</v>
      </c>
      <c r="K21" s="34">
        <f t="shared" si="3"/>
        <v>0</v>
      </c>
      <c r="L21" s="35">
        <f t="shared" si="4"/>
        <v>0</v>
      </c>
      <c r="M21" s="3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56"/>
      <c r="AJ21" s="90"/>
      <c r="AK21" s="91"/>
      <c r="AL21" s="126"/>
      <c r="AM21" s="58"/>
      <c r="AN21" s="59"/>
      <c r="AO21" s="66"/>
      <c r="BA21" s="67"/>
    </row>
    <row r="22" spans="1:53" s="1" customFormat="1" x14ac:dyDescent="0.15">
      <c r="A22" s="15">
        <v>40</v>
      </c>
      <c r="B22" s="15">
        <v>3332002732</v>
      </c>
      <c r="C22" s="16" t="s">
        <v>73</v>
      </c>
      <c r="D22" s="16" t="str">
        <f>IFERROR(VLOOKUP(B22,#REF!,5,0),"")</f>
        <v/>
      </c>
      <c r="E22" s="16">
        <v>36</v>
      </c>
      <c r="F22" s="16">
        <v>4</v>
      </c>
      <c r="G22" s="16">
        <f t="shared" si="5"/>
        <v>4800</v>
      </c>
      <c r="H22" s="17">
        <v>4201</v>
      </c>
      <c r="I22" s="32">
        <f t="shared" si="1"/>
        <v>0.87520833333333337</v>
      </c>
      <c r="J22" s="33">
        <f t="shared" si="6"/>
        <v>350.08333333333331</v>
      </c>
      <c r="K22" s="34">
        <f t="shared" si="3"/>
        <v>0</v>
      </c>
      <c r="L22" s="35">
        <f t="shared" si="4"/>
        <v>0</v>
      </c>
      <c r="M22" s="3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56"/>
      <c r="AJ22" s="90"/>
      <c r="AK22" s="91"/>
      <c r="AL22" s="57"/>
      <c r="AM22" s="58"/>
      <c r="AN22" s="59"/>
      <c r="AO22" s="66"/>
      <c r="BA22" s="67"/>
    </row>
    <row r="23" spans="1:53" s="1" customFormat="1" x14ac:dyDescent="0.15">
      <c r="A23" s="22">
        <v>47</v>
      </c>
      <c r="B23" s="19">
        <v>3332001878</v>
      </c>
      <c r="C23" s="21" t="s">
        <v>74</v>
      </c>
      <c r="D23" s="16" t="str">
        <f>IFERROR(VLOOKUP(B23,#REF!,5,0),"")</f>
        <v/>
      </c>
      <c r="E23" s="16">
        <v>53</v>
      </c>
      <c r="F23" s="16">
        <v>8</v>
      </c>
      <c r="G23" s="16">
        <f t="shared" si="5"/>
        <v>6521</v>
      </c>
      <c r="H23" s="17">
        <v>5079</v>
      </c>
      <c r="I23" s="32">
        <f t="shared" si="1"/>
        <v>0.77886827173746354</v>
      </c>
      <c r="J23" s="33">
        <f t="shared" si="6"/>
        <v>423.25</v>
      </c>
      <c r="K23" s="34">
        <f t="shared" si="3"/>
        <v>0</v>
      </c>
      <c r="L23" s="35">
        <f t="shared" si="4"/>
        <v>0</v>
      </c>
      <c r="M23" s="3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56"/>
      <c r="AJ23" s="90"/>
      <c r="AK23" s="91"/>
      <c r="AL23" s="57"/>
      <c r="AM23" s="58"/>
      <c r="AN23" s="59"/>
      <c r="AO23" s="66"/>
      <c r="BA23" s="67"/>
    </row>
    <row r="24" spans="1:53" s="1" customFormat="1" x14ac:dyDescent="0.15">
      <c r="A24" s="101">
        <v>48</v>
      </c>
      <c r="B24" s="15">
        <v>3332001549</v>
      </c>
      <c r="C24" s="21" t="s">
        <v>75</v>
      </c>
      <c r="D24" s="16" t="str">
        <f>IFERROR(VLOOKUP(B24,#REF!,5,0),"")</f>
        <v/>
      </c>
      <c r="E24" s="16">
        <v>23</v>
      </c>
      <c r="F24" s="16">
        <v>4</v>
      </c>
      <c r="G24" s="16">
        <f t="shared" si="5"/>
        <v>7513</v>
      </c>
      <c r="H24" s="17">
        <v>6920</v>
      </c>
      <c r="I24" s="32">
        <f t="shared" si="1"/>
        <v>0.92107014508185814</v>
      </c>
      <c r="J24" s="33">
        <f t="shared" si="6"/>
        <v>576.66666666666663</v>
      </c>
      <c r="K24" s="34">
        <f t="shared" si="3"/>
        <v>0</v>
      </c>
      <c r="L24" s="35">
        <f t="shared" si="4"/>
        <v>0</v>
      </c>
      <c r="M24" s="3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56"/>
      <c r="AJ24" s="90"/>
      <c r="AK24" s="91"/>
      <c r="AL24" s="125"/>
      <c r="AM24" s="58"/>
      <c r="AN24" s="59"/>
      <c r="AO24" s="66"/>
      <c r="BA24" s="67"/>
    </row>
    <row r="25" spans="1:53" s="1" customFormat="1" x14ac:dyDescent="0.15">
      <c r="A25" s="102"/>
      <c r="B25" s="15">
        <v>3332001552</v>
      </c>
      <c r="C25" s="21" t="s">
        <v>76</v>
      </c>
      <c r="D25" s="16" t="str">
        <f>IFERROR(VLOOKUP(B25,#REF!,5,0),"")</f>
        <v/>
      </c>
      <c r="E25" s="16">
        <v>245</v>
      </c>
      <c r="F25" s="16">
        <v>4</v>
      </c>
      <c r="G25" s="16">
        <f t="shared" si="5"/>
        <v>705</v>
      </c>
      <c r="H25" s="17">
        <v>620</v>
      </c>
      <c r="I25" s="32">
        <f t="shared" si="1"/>
        <v>0.87943262411347523</v>
      </c>
      <c r="J25" s="33">
        <f t="shared" si="6"/>
        <v>51.666666666666664</v>
      </c>
      <c r="K25" s="34">
        <f t="shared" si="3"/>
        <v>0</v>
      </c>
      <c r="L25" s="35">
        <f t="shared" si="4"/>
        <v>0</v>
      </c>
      <c r="M25" s="3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56"/>
      <c r="AJ25" s="90"/>
      <c r="AK25" s="91"/>
      <c r="AL25" s="126"/>
      <c r="AM25" s="58"/>
      <c r="AN25" s="59"/>
      <c r="AO25" s="66"/>
      <c r="BA25" s="67"/>
    </row>
    <row r="26" spans="1:53" s="1" customFormat="1" x14ac:dyDescent="0.15">
      <c r="A26" s="99">
        <v>49</v>
      </c>
      <c r="B26" s="15">
        <v>3332001546</v>
      </c>
      <c r="C26" s="16" t="s">
        <v>77</v>
      </c>
      <c r="D26" s="16" t="str">
        <f>IFERROR(VLOOKUP(B26,#REF!,5,0),"")</f>
        <v/>
      </c>
      <c r="E26" s="16">
        <v>123</v>
      </c>
      <c r="F26" s="16">
        <v>2</v>
      </c>
      <c r="G26" s="16">
        <f t="shared" si="5"/>
        <v>702</v>
      </c>
      <c r="H26" s="17">
        <v>503</v>
      </c>
      <c r="I26" s="32">
        <f t="shared" si="1"/>
        <v>0.7165242165242165</v>
      </c>
      <c r="J26" s="33">
        <f t="shared" si="6"/>
        <v>41.916666666666664</v>
      </c>
      <c r="K26" s="34">
        <f t="shared" si="3"/>
        <v>2</v>
      </c>
      <c r="L26" s="35">
        <f t="shared" si="4"/>
        <v>3.9603960396039604E-3</v>
      </c>
      <c r="M26" s="3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>
        <v>2</v>
      </c>
      <c r="AB26" s="16"/>
      <c r="AC26" s="16"/>
      <c r="AD26" s="16"/>
      <c r="AE26" s="16"/>
      <c r="AF26" s="16"/>
      <c r="AG26" s="16"/>
      <c r="AH26" s="16"/>
      <c r="AI26" s="56"/>
      <c r="AJ26" s="90"/>
      <c r="AK26" s="91"/>
      <c r="AL26" s="125"/>
      <c r="AM26" s="58"/>
      <c r="AN26" s="59"/>
      <c r="AO26" s="66"/>
      <c r="BA26" s="67"/>
    </row>
    <row r="27" spans="1:53" s="1" customFormat="1" x14ac:dyDescent="0.15">
      <c r="A27" s="100"/>
      <c r="B27" s="15">
        <v>3332001550</v>
      </c>
      <c r="C27" s="16" t="s">
        <v>78</v>
      </c>
      <c r="D27" s="16" t="str">
        <f>IFERROR(VLOOKUP(B27,#REF!,5,0),"")</f>
        <v/>
      </c>
      <c r="E27" s="16">
        <v>76</v>
      </c>
      <c r="F27" s="16">
        <v>2</v>
      </c>
      <c r="G27" s="16">
        <f t="shared" si="5"/>
        <v>1137</v>
      </c>
      <c r="H27" s="17">
        <v>1039</v>
      </c>
      <c r="I27" s="32">
        <f t="shared" si="1"/>
        <v>0.91380826737027265</v>
      </c>
      <c r="J27" s="33">
        <f t="shared" si="6"/>
        <v>86.583333333333329</v>
      </c>
      <c r="K27" s="34">
        <f t="shared" si="3"/>
        <v>2</v>
      </c>
      <c r="L27" s="35">
        <f t="shared" si="4"/>
        <v>1.9212295869356388E-3</v>
      </c>
      <c r="M27" s="3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>
        <v>2</v>
      </c>
      <c r="AB27" s="16"/>
      <c r="AC27" s="16"/>
      <c r="AD27" s="16"/>
      <c r="AE27" s="16"/>
      <c r="AF27" s="16"/>
      <c r="AG27" s="16"/>
      <c r="AH27" s="16"/>
      <c r="AI27" s="56"/>
      <c r="AJ27" s="90"/>
      <c r="AK27" s="91"/>
      <c r="AL27" s="126"/>
      <c r="AM27" s="58"/>
      <c r="AN27" s="59"/>
      <c r="AO27" s="66"/>
      <c r="BA27" s="67"/>
    </row>
    <row r="28" spans="1:53" s="1" customFormat="1" x14ac:dyDescent="0.15">
      <c r="A28" s="22"/>
      <c r="B28" s="68" t="s">
        <v>79</v>
      </c>
      <c r="C28" s="16" t="s">
        <v>80</v>
      </c>
      <c r="D28" s="16" t="str">
        <f>IFERROR(VLOOKUP(B28,#REF!,5,0),"")</f>
        <v/>
      </c>
      <c r="E28" s="16"/>
      <c r="F28" s="16"/>
      <c r="G28" s="16"/>
      <c r="H28" s="17">
        <v>1344</v>
      </c>
      <c r="I28" s="32" t="e">
        <f t="shared" si="1"/>
        <v>#DIV/0!</v>
      </c>
      <c r="J28" s="33">
        <f t="shared" si="6"/>
        <v>112</v>
      </c>
      <c r="K28" s="34">
        <f t="shared" si="3"/>
        <v>116</v>
      </c>
      <c r="L28" s="35">
        <f t="shared" si="4"/>
        <v>7.9452054794520555E-2</v>
      </c>
      <c r="M28" s="36">
        <v>45</v>
      </c>
      <c r="N28" s="16">
        <v>2</v>
      </c>
      <c r="O28" s="16">
        <v>55</v>
      </c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>
        <v>14</v>
      </c>
      <c r="AB28" s="16"/>
      <c r="AC28" s="16"/>
      <c r="AD28" s="16"/>
      <c r="AE28" s="16"/>
      <c r="AF28" s="16"/>
      <c r="AG28" s="16"/>
      <c r="AH28" s="16"/>
      <c r="AI28" s="56"/>
      <c r="AJ28" s="90" t="s">
        <v>81</v>
      </c>
      <c r="AK28" s="91"/>
      <c r="AL28" s="57"/>
      <c r="AM28" s="58"/>
      <c r="AN28" s="59"/>
      <c r="AO28" s="66"/>
      <c r="BA28" s="67"/>
    </row>
    <row r="29" spans="1:53" x14ac:dyDescent="0.15">
      <c r="A29" s="23"/>
      <c r="B29" s="24"/>
      <c r="C29" s="25" t="s">
        <v>82</v>
      </c>
      <c r="D29" s="26" t="str">
        <f>IFERROR(VLOOKUP(B29,#REF!,5,0),"")</f>
        <v/>
      </c>
      <c r="E29" s="27"/>
      <c r="F29" s="27"/>
      <c r="G29" s="26">
        <f>SUM(G8:G28)</f>
        <v>98683</v>
      </c>
      <c r="H29" s="28">
        <f>SUM(H6:H28)</f>
        <v>89868</v>
      </c>
      <c r="I29" s="37">
        <f t="shared" si="1"/>
        <v>0.9106735709291367</v>
      </c>
      <c r="J29" s="38"/>
      <c r="K29" s="39">
        <f t="shared" ref="K29:AI29" si="7">SUM(K8:K28)</f>
        <v>190</v>
      </c>
      <c r="L29" s="35">
        <f t="shared" si="4"/>
        <v>2.1097514934819784E-3</v>
      </c>
      <c r="M29" s="40">
        <f t="shared" si="7"/>
        <v>60</v>
      </c>
      <c r="N29" s="41">
        <f t="shared" si="7"/>
        <v>2</v>
      </c>
      <c r="O29" s="41">
        <f t="shared" si="7"/>
        <v>82</v>
      </c>
      <c r="P29" s="41">
        <f t="shared" si="7"/>
        <v>0</v>
      </c>
      <c r="Q29" s="41">
        <f t="shared" si="7"/>
        <v>0</v>
      </c>
      <c r="R29" s="41">
        <f t="shared" si="7"/>
        <v>0</v>
      </c>
      <c r="S29" s="41">
        <f t="shared" si="7"/>
        <v>0</v>
      </c>
      <c r="T29" s="41">
        <f t="shared" si="7"/>
        <v>0</v>
      </c>
      <c r="U29" s="41">
        <f t="shared" si="7"/>
        <v>0</v>
      </c>
      <c r="V29" s="41">
        <f t="shared" si="7"/>
        <v>0</v>
      </c>
      <c r="W29" s="41">
        <f t="shared" si="7"/>
        <v>0</v>
      </c>
      <c r="X29" s="41">
        <f t="shared" si="7"/>
        <v>4</v>
      </c>
      <c r="Y29" s="41">
        <f t="shared" si="7"/>
        <v>0</v>
      </c>
      <c r="Z29" s="41">
        <f t="shared" si="7"/>
        <v>0</v>
      </c>
      <c r="AA29" s="41">
        <f t="shared" si="7"/>
        <v>42</v>
      </c>
      <c r="AB29" s="41">
        <f t="shared" si="7"/>
        <v>0</v>
      </c>
      <c r="AC29" s="41">
        <f t="shared" si="7"/>
        <v>0</v>
      </c>
      <c r="AD29" s="41">
        <f t="shared" si="7"/>
        <v>0</v>
      </c>
      <c r="AE29" s="41">
        <f t="shared" si="7"/>
        <v>0</v>
      </c>
      <c r="AF29" s="41">
        <f t="shared" si="7"/>
        <v>0</v>
      </c>
      <c r="AG29" s="41">
        <f t="shared" si="7"/>
        <v>0</v>
      </c>
      <c r="AH29" s="41">
        <f t="shared" si="7"/>
        <v>0</v>
      </c>
      <c r="AI29" s="60">
        <f t="shared" si="7"/>
        <v>0</v>
      </c>
      <c r="AJ29" s="92"/>
      <c r="AK29" s="93"/>
      <c r="AL29" s="61"/>
      <c r="AM29"/>
      <c r="AN29"/>
      <c r="AO29"/>
    </row>
  </sheetData>
  <mergeCells count="72">
    <mergeCell ref="L3:L4"/>
    <mergeCell ref="L6:L7"/>
    <mergeCell ref="AL20:AL21"/>
    <mergeCell ref="AL24:AL25"/>
    <mergeCell ref="AL26:AL27"/>
    <mergeCell ref="M3:N4"/>
    <mergeCell ref="O3:P4"/>
    <mergeCell ref="Q3:U4"/>
    <mergeCell ref="I3:I4"/>
    <mergeCell ref="I6:I7"/>
    <mergeCell ref="J3:J4"/>
    <mergeCell ref="J6:J7"/>
    <mergeCell ref="K3:K4"/>
    <mergeCell ref="K6:K7"/>
    <mergeCell ref="A3:A7"/>
    <mergeCell ref="A20:A21"/>
    <mergeCell ref="A24:A25"/>
    <mergeCell ref="A26:A27"/>
    <mergeCell ref="B3:B7"/>
    <mergeCell ref="C3:C7"/>
    <mergeCell ref="D3:D7"/>
    <mergeCell ref="E6:E7"/>
    <mergeCell ref="F6:F7"/>
    <mergeCell ref="G6:G7"/>
    <mergeCell ref="H6:H7"/>
    <mergeCell ref="AJ23:AK23"/>
    <mergeCell ref="AJ24:AK24"/>
    <mergeCell ref="AJ25:AK25"/>
    <mergeCell ref="AJ26:AK26"/>
    <mergeCell ref="AJ27:AK27"/>
    <mergeCell ref="AJ28:AK28"/>
    <mergeCell ref="AJ29:AK29"/>
    <mergeCell ref="AJ14:AK14"/>
    <mergeCell ref="AJ15:AK15"/>
    <mergeCell ref="AJ16:AK16"/>
    <mergeCell ref="AJ17:AK17"/>
    <mergeCell ref="AJ18:AK18"/>
    <mergeCell ref="AJ19:AK19"/>
    <mergeCell ref="AJ20:AK20"/>
    <mergeCell ref="AJ21:AK21"/>
    <mergeCell ref="AJ22:AK22"/>
    <mergeCell ref="M6:AC6"/>
    <mergeCell ref="AD6:AI6"/>
    <mergeCell ref="AJ7:AK7"/>
    <mergeCell ref="AJ8:AK8"/>
    <mergeCell ref="AJ9:AK9"/>
    <mergeCell ref="AJ10:AK10"/>
    <mergeCell ref="AJ11:AK11"/>
    <mergeCell ref="AJ12:AK12"/>
    <mergeCell ref="AJ13:AK13"/>
    <mergeCell ref="E5:F5"/>
    <mergeCell ref="G5:H5"/>
    <mergeCell ref="M5:N5"/>
    <mergeCell ref="O5:P5"/>
    <mergeCell ref="Q5:U5"/>
    <mergeCell ref="V5:X5"/>
    <mergeCell ref="Y5:AA5"/>
    <mergeCell ref="AB5:AD5"/>
    <mergeCell ref="AE5:AI5"/>
    <mergeCell ref="AJ1:AL1"/>
    <mergeCell ref="AJ2:AL2"/>
    <mergeCell ref="V3:X3"/>
    <mergeCell ref="Y3:AA3"/>
    <mergeCell ref="AB3:AD3"/>
    <mergeCell ref="AE3:AI3"/>
    <mergeCell ref="V4:X4"/>
    <mergeCell ref="Y4:AA4"/>
    <mergeCell ref="AB4:AD4"/>
    <mergeCell ref="AE4:AI4"/>
    <mergeCell ref="A1:AI2"/>
    <mergeCell ref="E3:F4"/>
    <mergeCell ref="G3:H4"/>
  </mergeCells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v228</dc:creator>
  <cp:lastModifiedBy>222 zhang</cp:lastModifiedBy>
  <dcterms:created xsi:type="dcterms:W3CDTF">2025-09-29T02:38:00Z</dcterms:created>
  <dcterms:modified xsi:type="dcterms:W3CDTF">2026-04-08T09:57:34Z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85B7B85828BB4E58BCB7919C423997EA_11</vt:lpwstr>
  </property>
  <property fmtid="{D5CDD505-2E9C-101B-9397-08002B2CF9AE}" pid="3" name="KSOProductBuildVer">
    <vt:lpwstr>2052-12.1.0.22529</vt:lpwstr>
  </property>
</Properties>
</file>